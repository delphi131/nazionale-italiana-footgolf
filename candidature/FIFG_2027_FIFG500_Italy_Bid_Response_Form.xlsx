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amp; Status" sheetId="1" state="visible" r:id="rId3"/>
    <sheet name="Bidder Details" sheetId="2" state="visible" r:id="rId4"/>
    <sheet name="Dates &amp; Event" sheetId="3" state="visible" r:id="rId5"/>
    <sheet name="Courses &amp; Operations" sheetId="4" state="visible" r:id="rId6"/>
    <sheet name="Fees &amp; Services" sheetId="5" state="visible" r:id="rId7"/>
    <sheet name="Media &amp; Funding" sheetId="6" state="visible" r:id="rId8"/>
    <sheet name="Compliance &amp; Variances" sheetId="7" state="visible" r:id="rId9"/>
    <sheet name="Comparison Summary" sheetId="8" state="visible" r:id="rId10"/>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<sst xmlns="http://schemas.openxmlformats.org/spreadsheetml/2006/main" count="356" uniqueCount="236">
  <si>
    <t xml:space="preserve">FIFG 2027 Masters, Majors and 500 — Bid Response &amp; Comparison Workbook</t>
  </si>
  <si>
    <t xml:space="preserve">Companion response file to the official 2027 bid document. The Word bid document remains the controlling requirements document.</t>
  </si>
  <si>
    <t xml:space="preserve">How to use: complete the yellow response cells and use the dropdowns where available. Enter comparable financial amounts in EUR. Use evidence or comments to explain every No. Countries must submit this Excel file and may also send a presentation of the tournament proposal.</t>
  </si>
  <si>
    <t xml:space="preserve">Submission information</t>
  </si>
  <si>
    <t xml:space="preserve">Full bid deadline</t>
  </si>
  <si>
    <t xml:space="preserve">October 30, 2026</t>
  </si>
  <si>
    <t xml:space="preserve">Clarifications</t>
  </si>
  <si>
    <t xml:space="preserve">Until October 25, 2026</t>
  </si>
  <si>
    <t xml:space="preserve">Host decisions</t>
  </si>
  <si>
    <t xml:space="preserve">November 15, 2026</t>
  </si>
  <si>
    <t xml:space="preserve">Submit to</t>
  </si>
  <si>
    <t xml:space="preserve">info@fifg.org and board@fifg.org</t>
  </si>
  <si>
    <t xml:space="preserve">Currency</t>
  </si>
  <si>
    <t xml:space="preserve">EUR</t>
  </si>
  <si>
    <t xml:space="preserve">Open Date form</t>
  </si>
  <si>
    <t xml:space="preserve">https://forms.gle/677Wtc64oCaXQd166</t>
  </si>
  <si>
    <t xml:space="preserve">Key calendar and eligibility rules</t>
  </si>
  <si>
    <t xml:space="preserve">1</t>
  </si>
  <si>
    <t xml:space="preserve">No FIFG World Tour tournament may take place during the 2027 FIFG World Club Trophy.</t>
  </si>
  <si>
    <t xml:space="preserve">2</t>
  </si>
  <si>
    <t xml:space="preserve">Countries should first try to resolve an Open-date clash by agreement. If they cannot agree, the country with more FIFG World Tour licences has priority.</t>
  </si>
  <si>
    <t xml:space="preserve">3</t>
  </si>
  <si>
    <t xml:space="preserve">A region needs at least 260 World Tour licences to organize a Major; a Masters region needs at least 500.</t>
  </si>
  <si>
    <t xml:space="preserve">Bid completion status</t>
  </si>
  <si>
    <t xml:space="preserve">Metric</t>
  </si>
  <si>
    <t xml:space="preserve">Result</t>
  </si>
  <si>
    <t xml:space="preserve">Completion</t>
  </si>
  <si>
    <t xml:space="preserve">Colour guide</t>
  </si>
  <si>
    <t xml:space="preserve">Required items completed</t>
  </si>
  <si>
    <t xml:space="preserve">Yellow = bidder input</t>
  </si>
  <si>
    <t xml:space="preserve">Required items remaining</t>
  </si>
  <si>
    <t xml:space="preserve">Grey / green = automatic result</t>
  </si>
  <si>
    <t xml:space="preserve">Declared variances</t>
  </si>
  <si>
    <t xml:space="preserve">Explain every variance</t>
  </si>
  <si>
    <t xml:space="preserve">Overall readiness</t>
  </si>
  <si>
    <t xml:space="preserve">Presentation is optional</t>
  </si>
  <si>
    <t xml:space="preserve">Workbook sections</t>
  </si>
  <si>
    <t xml:space="preserve">No.</t>
  </si>
  <si>
    <t xml:space="preserve">Sheet</t>
  </si>
  <si>
    <t xml:space="preserve">Purpose</t>
  </si>
  <si>
    <t xml:space="preserve">Status</t>
  </si>
  <si>
    <t xml:space="preserve">Action</t>
  </si>
  <si>
    <t xml:space="preserve">Note</t>
  </si>
  <si>
    <t xml:space="preserve">Bidder Details</t>
  </si>
  <si>
    <t xml:space="preserve">Applicant, event level, licence profile and hosting experience</t>
  </si>
  <si>
    <t xml:space="preserve">Mandatory</t>
  </si>
  <si>
    <t xml:space="preserve">Start here</t>
  </si>
  <si>
    <t xml:space="preserve">Complete all required fields</t>
  </si>
  <si>
    <t xml:space="preserve">Dates &amp; Event</t>
  </si>
  <si>
    <t xml:space="preserve">Open dates, rounds, capacity and calendar confirmations</t>
  </si>
  <si>
    <t xml:space="preserve">Submit the Open Date form</t>
  </si>
  <si>
    <t xml:space="preserve">Deadline: October 19</t>
  </si>
  <si>
    <t xml:space="preserve">Courses &amp; Operations</t>
  </si>
  <si>
    <t xml:space="preserve">Courses, facilities, staffing, safety and transport</t>
  </si>
  <si>
    <t xml:space="preserve">Confirm capacity</t>
  </si>
  <si>
    <t xml:space="preserve">Second course depends on level</t>
  </si>
  <si>
    <t xml:space="preserve">Fees &amp; Services</t>
  </si>
  <si>
    <t xml:space="preserve">Fees, inclusions, meals, prize money and rates</t>
  </si>
  <si>
    <t xml:space="preserve">Show value for price</t>
  </si>
  <si>
    <t xml:space="preserve">Amounts in EUR</t>
  </si>
  <si>
    <t xml:space="preserve">Media &amp; Funding</t>
  </si>
  <si>
    <t xml:space="preserve">Broadcast budget, financing and content delivery</t>
  </si>
  <si>
    <t xml:space="preserve">State guaranteed support</t>
  </si>
  <si>
    <t xml:space="preserve">Approx. EUR 25,000 if selected</t>
  </si>
  <si>
    <t xml:space="preserve">Compliance &amp; Variances</t>
  </si>
  <si>
    <t xml:space="preserve">Key confirmations, evidence and comments</t>
  </si>
  <si>
    <t xml:space="preserve">Explain every No</t>
  </si>
  <si>
    <t xml:space="preserve">Use the comments column</t>
  </si>
  <si>
    <t xml:space="preserve">Comparison Summary</t>
  </si>
  <si>
    <t xml:space="preserve">Automatic bid snapshot</t>
  </si>
  <si>
    <t xml:space="preserve">FIFG use</t>
  </si>
  <si>
    <t xml:space="preserve">Do not edit formula cells</t>
  </si>
  <si>
    <t xml:space="preserve">Updates automatically</t>
  </si>
  <si>
    <t xml:space="preserve">FIFG 2027 Masters, Majors and 500 — Bidder Details</t>
  </si>
  <si>
    <t xml:space="preserve">Complete the yellow cells and keep responses concise. A separate tournament presentation may be submitted with the completed workbook.</t>
  </si>
  <si>
    <t xml:space="preserve">Requirement / question</t>
  </si>
  <si>
    <t xml:space="preserve">Bidder response</t>
  </si>
  <si>
    <t xml:space="preserve">Required?</t>
  </si>
  <si>
    <t xml:space="preserve">Evidence / comments</t>
  </si>
  <si>
    <t xml:space="preserve">FIFG Member Country</t>
  </si>
  <si>
    <t xml:space="preserve">Italy</t>
  </si>
  <si>
    <t xml:space="preserve">Yes</t>
  </si>
  <si>
    <t xml:space="preserve">FIFG region</t>
  </si>
  <si>
    <t xml:space="preserve">Region 3 (Europe)</t>
  </si>
  <si>
    <t xml:space="preserve">Event level requested</t>
  </si>
  <si>
    <t xml:space="preserve">FIFG 500</t>
  </si>
  <si>
    <t xml:space="preserve">Proposed Open / tournament name</t>
  </si>
  <si>
    <t xml:space="preserve">Italian FootGolf Open 2027 – Rome (FIFG 500)</t>
  </si>
  <si>
    <t xml:space="preserve">Main 2027 national Open of Italy.</t>
  </si>
  <si>
    <t xml:space="preserve">Host city, region and country</t>
  </si>
  <si>
    <t xml:space="preserve">Rome, Lazio, Italy – Golf Club Parco de' Medici</t>
  </si>
  <si>
    <t xml:space="preserve">Venue in the south-west of Rome (EUR / Magliana area), between Rome city centre and Fiumicino Airport.</t>
  </si>
  <si>
    <t xml:space="preserve">Bid leader — name and role</t>
  </si>
  <si>
    <t xml:space="preserve">Bid leader email and telephone</t>
  </si>
  <si>
    <t xml:space="preserve">World Tour licences in the Member Country</t>
  </si>
  <si>
    <t xml:space="preserve">Recreational licences in the Member Country</t>
  </si>
  <si>
    <t xml:space="preserve">Women licences in the Member Country</t>
  </si>
  <si>
    <t xml:space="preserve">Junior licences in the Member Country</t>
  </si>
  <si>
    <t xml:space="preserve">Relevant hosting experience</t>
  </si>
  <si>
    <t xml:space="preserve">Dates &amp; Event Format</t>
  </si>
  <si>
    <t xml:space="preserve">Enter the dates of the country's main 2027 Open. The Open Date form must be submitted by October 19, 2026.</t>
  </si>
  <si>
    <t xml:space="preserve">Proposed start date (practice day)</t>
  </si>
  <si>
    <t xml:space="preserve">2 July 2027 (official practice day)</t>
  </si>
  <si>
    <t xml:space="preserve">Three days of course use: 2 July practice, 3–4 July competition.</t>
  </si>
  <si>
    <t xml:space="preserve">Main Open — proposed end date</t>
  </si>
  <si>
    <t xml:space="preserve">4 July 2027</t>
  </si>
  <si>
    <t xml:space="preserve">Final round and closing ceremony on Sunday 4 July 2027.</t>
  </si>
  <si>
    <t xml:space="preserve">Number of competition rounds</t>
  </si>
  <si>
    <t xml:space="preserve">One round per day (3 and 4 July). Same number of rounds for all categories.</t>
  </si>
  <si>
    <t xml:space="preserve">Maximum field capacity</t>
  </si>
  <si>
    <t xml:space="preserve">18-hole FootGolf layout, groups of 4, two-tee or shotgun start in two waves. Final field size subject to FIFG approval of the schedule.</t>
  </si>
  <si>
    <t xml:space="preserve">Open Date form submitted? https://forms.gle/677Wtc64oCaXQd166</t>
  </si>
  <si>
    <t xml:space="preserve">Open-date clash rule acknowledged</t>
  </si>
  <si>
    <t xml:space="preserve">Italy acknowledges the calendar coordination and Open-date clash rules (bid document §3.1).</t>
  </si>
  <si>
    <t xml:space="preserve">Alternative date window, if requested by FIFG</t>
  </si>
  <si>
    <t xml:space="preserve">No</t>
  </si>
  <si>
    <t xml:space="preserve">Summarize course readiness, delivery capacity and the people responsible for safe tournament operations.</t>
  </si>
  <si>
    <t xml:space="preserve">Course 1 — name and location</t>
  </si>
  <si>
    <t xml:space="preserve">Golf Club Parco de' Medici – Viale Salvatore Rebecchini 39, 00148 Rome (RM), Italy</t>
  </si>
  <si>
    <t xml:space="preserve">27-hole golf facility (White, Blue and Red nines) inside the Sheraton Rome Parco de' Medici complex. www.golfparcodemedici.it</t>
  </si>
  <si>
    <t xml:space="preserve">Course 1 — par, distance and capacity</t>
  </si>
  <si>
    <t xml:space="preserve">Planned 18-hole FootGolf layout, target par 72; capacity 144 players (2 waves of 18 groups of 4)</t>
  </si>
  <si>
    <t xml:space="preserve">Final layout, length, tee positions and any temporary holes to be designed with the club and submitted for FIFG approval. The 27 golf holes leave room for a separate practice layout.</t>
  </si>
  <si>
    <t xml:space="preserve">Course 2 — name and location</t>
  </si>
  <si>
    <t xml:space="preserve">Course 2 — par, distance and capacity</t>
  </si>
  <si>
    <t xml:space="preserve">Clubhouse, changing rooms, toilets, parking, water, power and internet</t>
  </si>
  <si>
    <t xml:space="preserve">Clubhouse with restaurant and bar, changing rooms and toilets, large car park, mains power and Wi-Fi in the clubhouse; at least 2 drinking-water refill points and shaded rest areas on course.</t>
  </si>
  <si>
    <t xml:space="preserve">Backup 4G/5G router, charging station and printer at the scoring area. Exclusive or protected use of the FootGolf holes during practice and competition to be agreed with the club.</t>
  </si>
  <si>
    <t xml:space="preserve">Will the event have a Tournament Director, Rules Director and accountable operational lead?</t>
  </si>
  <si>
    <t xml:space="preserve">Tournament Director, Rules Director and an English-speaking operational lead will be appointed by the Italian federation; organizational chart and names to be provided with the Host Agreement. Live scoring on BlueGolf.</t>
  </si>
  <si>
    <t xml:space="preserve">Will the event have starters, marshals, a scoring team and volunteers?</t>
  </si>
  <si>
    <t xml:space="preserve">At least 1 non-playing on-site operations staff member and 1 non-playing marshal (FIFG 500 minimum), plus trained starters, marshals, score reviewers and volunteers under a Volunteer Coordinator.</t>
  </si>
  <si>
    <t xml:space="preserve">Medical cover, risk assessment, emergency plan and insurance</t>
  </si>
  <si>
    <t xml:space="preserve">Yes – first-aid team and ambulance on site during practice and competition; written risk assessment, emergency action plan and public liability / event insurance.</t>
  </si>
  <si>
    <t xml:space="preserve">Nearest emergency hospital: Ospedale Sant'Eugenio (EUR), approx. 5 km. Heat, lightning, severe weather, evacuation and suspension-of-play protocols included in the emergency plan.</t>
  </si>
  <si>
    <t xml:space="preserve">Will you offer accommodation, transfers, local transport and accessible options?</t>
  </si>
  <si>
    <t xml:space="preserve">Yes – recommended hotel on site (Sheraton Rome Parco de' Medici), airport and city transfers, golf carts for operations, accessible facilities.</t>
  </si>
  <si>
    <t xml:space="preserve">Accommodation and transfers are optional packages, separate from the entry fee. Hotel and course are in the same complex, so no daily player transport is needed. Shuttle from Fiumicino/Ciampino and Rome Termini on request.</t>
  </si>
  <si>
    <t xml:space="preserve">Available daylight, evacuation and course-contingency plan</t>
  </si>
  <si>
    <t xml:space="preserve">Approx. 15 hours of daylight (sunrise ~05:40, sunset ~20:45). Heat plan with early tee times, water and shade; clubhouse used as evacuation shelter.</t>
  </si>
  <si>
    <t xml:space="preserve">Early July in Rome is hot and dry (typical highs 30–33 °C). Contingency: shift tee times earlier, reduce to one wave, or move to reserve holes on the 27-hole site.</t>
  </si>
  <si>
    <t xml:space="preserve">Entry Fees &amp; Included Services</t>
  </si>
  <si>
    <t xml:space="preserve">Enter comparable amounts in EUR. For FIFG 500 tournaments and above, the green fee / entry fee must include all items listed below.</t>
  </si>
  <si>
    <t xml:space="preserve">Standard entry fee amount per player (EUR)</t>
  </si>
  <si>
    <t xml:space="preserve">Standard fee, EUR 230 per player, from 1 April to 20 June 2027 (registration close). Entry-only option always available.</t>
  </si>
  <si>
    <t xml:space="preserve">Early-bird fee and validity dates</t>
  </si>
  <si>
    <t xml:space="preserve">EUR 200 – early-bird valid 1–31 March 2027</t>
  </si>
  <si>
    <t xml:space="preserve">Registration opens 1 March 2027 (within the 5-month limit). Opening communicated to all 2026 participants. Early-bird below the EUR 220 Region 3 cap and available for 31 days.</t>
  </si>
  <si>
    <t xml:space="preserve">Prize money / prize fund (EUR)</t>
  </si>
  <si>
    <t xml:space="preserve">Guaranteed minimum EUR 4,000 (Region 3 minimum), increased to 13% of collected entry fees if higher (e.g. 144 players × EUR 230 × 13% = EUR 4,306). Any sponsor additions announced only once guaranteed in writing.</t>
  </si>
  <si>
    <t xml:space="preserve">Fee includes lunch every competition day, welcome kit, prize money, welcome and closing ceremonies, and on-course refreshments?</t>
  </si>
  <si>
    <t xml:space="preserve">Entry fee includes lunch on both competition days, welcome kit, prize money, welcome and closing ceremonies and on-course refreshments.</t>
  </si>
  <si>
    <t xml:space="preserve">Total meals included per player</t>
  </si>
  <si>
    <t xml:space="preserve">Lunch on 3 and 4 July, plus on-course refreshments and food/drink at the welcome and closing ceremonies.</t>
  </si>
  <si>
    <t xml:space="preserve">Payment schedule, cancellation and refund policy</t>
  </si>
  <si>
    <t xml:space="preserve">Full payment at registration. Cancellation by 1 June 2027: full refund minus EUR 20 admin fee; 2–20 June: 50% refund; after 20 June: no refund except documented medical reasons.</t>
  </si>
  <si>
    <t xml:space="preserve">All charges in EUR. Optional hotel/transfer packages invoiced separately under the hotel's own terms.</t>
  </si>
  <si>
    <t xml:space="preserve">Primary accommodation rate</t>
  </si>
  <si>
    <t xml:space="preserve">Sheraton Rome Parco de' Medici (on site, walking distance to the course) – event rate to be agreed</t>
  </si>
  <si>
    <t xml:space="preserve">Additional hotels in the EUR area and central Rome will be listed on the event page.</t>
  </si>
  <si>
    <t xml:space="preserve">Airport / local transport time to the course</t>
  </si>
  <si>
    <t xml:space="preserve">Fiumicino (FCO): approx. 12 km, 15–20 min by car. Ciampino (CIA): approx. 20 km, 30 min. Rome Termini: approx. 25–30 min.</t>
  </si>
  <si>
    <t xml:space="preserve">Hotel and course are in the same complex (0 min). Paid shuttle service available from the hotel to the airports and city centre.</t>
  </si>
  <si>
    <t xml:space="preserve">Media, Broadcasting &amp; Funding</t>
  </si>
  <si>
    <t xml:space="preserve">Separate guaranteed commitments from proposed or conditional support.</t>
  </si>
  <si>
    <t xml:space="preserve">FIFG is close to finalizing an agreement with a major broadcasting company. Approximately 10 tournaments may be selected for live broadcasting, with an estimated production budget of about EUR 25,000 per selected tournament. Because the coverage may reach millions of viewers, bidders are encouraged to seek support from their national tourism board or sponsors.</t>
  </si>
  <si>
    <t xml:space="preserve">Live-broadcast production plan and delivery partner</t>
  </si>
  <si>
    <t xml:space="preserve">Guaranteed: daily photography and social content, daily highlight video (min. 3 min) and an event aftermovie. Live streaming is an optional upgrade; production partner to be confirmed.</t>
  </si>
  <si>
    <t xml:space="preserve">Media and Broadcast Lead appointed as the direct contact for FIFG Operations. Live scoring integrated with BlueGolf.</t>
  </si>
  <si>
    <t xml:space="preserve">Estimated broadcasting production budget (EUR)</t>
  </si>
  <si>
    <t xml:space="preserve">Estimated cost of live broadcast production if selected under the FIFG broadcasting agreement (FIFG estimate).</t>
  </si>
  <si>
    <t xml:space="preserve">Can the bidder cover approximately EUR 25,000 in production costs if selected? (See note above.)</t>
  </si>
  <si>
    <t xml:space="preserve">Pending</t>
  </si>
  <si>
    <t xml:space="preserve">Coverage depends on public-sector and sponsor funding, to be confirmed if the tournament is selected for broadcast.</t>
  </si>
  <si>
    <t xml:space="preserve">Guaranteed contribution toward broadcasting (EUR)</t>
  </si>
  <si>
    <t xml:space="preserve">No guaranteed amount at the submission date. Will be updated as soon as funding is confirmed in writing.</t>
  </si>
  <si>
    <t xml:space="preserve">Tourism board / public-sector funding possibilities</t>
  </si>
  <si>
    <t xml:space="preserve">Applications planned to Regione Lazio (sport and tourism events), Roma Capitale (major events, sport and tourism) and ENIT – Italian National Tourism Agency.</t>
  </si>
  <si>
    <t xml:space="preserve">Rome is a global tourism destination; international broadcast reach supports the funding case.</t>
  </si>
  <si>
    <t xml:space="preserve">Sponsor funding approach and status</t>
  </si>
  <si>
    <t xml:space="preserve">Local and national sponsors to be approached after the award; in-kind support from the venue/hotel partner. Amounts promoted only once guaranteed in writing.</t>
  </si>
  <si>
    <t xml:space="preserve">FIFG and event-partner branding on venue, accreditation, live scoring and digital content.</t>
  </si>
  <si>
    <t xml:space="preserve">Daily photography, social media, interviews and results graphics</t>
  </si>
  <si>
    <t xml:space="preserve">Yes – daily photography, social media posts, player interviews and daily results graphics.</t>
  </si>
  <si>
    <t xml:space="preserve">Content published on Italian federation channels and supplied to FIFG.</t>
  </si>
  <si>
    <t xml:space="preserve">Daily video / highlights and event aftermovie deliverables</t>
  </si>
  <si>
    <t xml:space="preserve">Daily highlight video (min. 3 minutes) each competition day and an event aftermovie.</t>
  </si>
  <si>
    <t xml:space="preserve">Daily highlights delivered by the evening of each competition day; aftermovie within 14 days of the event.</t>
  </si>
  <si>
    <t xml:space="preserve">Media archive, usage rights and content handover to FIFG</t>
  </si>
  <si>
    <t xml:space="preserve">Yes – full media archive and distribution rights handed over to FIFG.</t>
  </si>
  <si>
    <t xml:space="preserve">Photos and videos delivered via shared folder within 14 days of the event.</t>
  </si>
  <si>
    <t xml:space="preserve">Answer Yes or No for each applicable requirement. Use the evidence and comments columns to explain every No.</t>
  </si>
  <si>
    <t xml:space="preserve">A. Key requirement compliance</t>
  </si>
  <si>
    <t xml:space="preserve">Key requirement</t>
  </si>
  <si>
    <t xml:space="preserve">Yes / No</t>
  </si>
  <si>
    <t xml:space="preserve">Evidence</t>
  </si>
  <si>
    <t xml:space="preserve">Comments</t>
  </si>
  <si>
    <t xml:space="preserve">Member Country is in good standing</t>
  </si>
  <si>
    <t xml:space="preserve">No overdue FIFG debts at the submission deadline</t>
  </si>
  <si>
    <t xml:space="preserve">Course quantity and quality meet the selected tournament level</t>
  </si>
  <si>
    <t xml:space="preserve">Golf Club Parco de' Medici, Rome – 18-hole FootGolf layout on a 27-hole golf facility</t>
  </si>
  <si>
    <t xml:space="preserve">FIFG 500 requires at least one fully equipped course.</t>
  </si>
  <si>
    <t xml:space="preserve">The main Open date was submitted by October 19, 2026</t>
  </si>
  <si>
    <t xml:space="preserve">If countries cannot resolve an Open-date clash, the country with more World Tour licences has priority</t>
  </si>
  <si>
    <t xml:space="preserve">Bid document §3.1</t>
  </si>
  <si>
    <t xml:space="preserve">For FIFG 500 and above, the fee includes all required meals, kit, prize money, ceremonies and refreshments</t>
  </si>
  <si>
    <t xml:space="preserve">Fees &amp; Services sheet, rows 8–9</t>
  </si>
  <si>
    <t xml:space="preserve">Bidder will comply with FIFG rules, anti-doping requirements and approved local rules</t>
  </si>
  <si>
    <t xml:space="preserve">Rules of the Game, World Tour and Competition Guidelines, anti-doping and approved local rules 2027</t>
  </si>
  <si>
    <t xml:space="preserve">Information and supporting evidence are accurate and authorized by the Member Country</t>
  </si>
  <si>
    <t xml:space="preserve">FIFG 2027 Masters, Majors and 500 — Comparison Summary</t>
  </si>
  <si>
    <t xml:space="preserve">Submitted values populate automatically from the completed response sheets.</t>
  </si>
  <si>
    <t xml:space="preserve">A. Automatic bid snapshot</t>
  </si>
  <si>
    <t xml:space="preserve">Submitted value</t>
  </si>
  <si>
    <t xml:space="preserve">Source</t>
  </si>
  <si>
    <t xml:space="preserve">Member Country</t>
  </si>
  <si>
    <t xml:space="preserve">Event level</t>
  </si>
  <si>
    <t xml:space="preserve">Host destination</t>
  </si>
  <si>
    <t xml:space="preserve">Proposed start date</t>
  </si>
  <si>
    <t xml:space="preserve">Main Open end date</t>
  </si>
  <si>
    <t xml:space="preserve">Competition rounds</t>
  </si>
  <si>
    <t xml:space="preserve">World Tour licences in Member Country</t>
  </si>
  <si>
    <t xml:space="preserve">Recreational licences</t>
  </si>
  <si>
    <t xml:space="preserve">Women licences</t>
  </si>
  <si>
    <t xml:space="preserve">Junior licences</t>
  </si>
  <si>
    <t xml:space="preserve">Standard entry fee (EUR)</t>
  </si>
  <si>
    <t xml:space="preserve">Early-bird fee and validity</t>
  </si>
  <si>
    <t xml:space="preserve">Meals included per player</t>
  </si>
  <si>
    <t xml:space="preserve">Mandatory fee package included</t>
  </si>
  <si>
    <t xml:space="preserve">Airport / local transport time</t>
  </si>
  <si>
    <t xml:space="preserve">Broadcast budget (EUR)</t>
  </si>
  <si>
    <t xml:space="preserve">Broadcast contribution (EUR)</t>
  </si>
  <si>
    <t xml:space="preserve">Tourism board / public-sector funding</t>
  </si>
  <si>
    <t xml:space="preserve">Sponsor funding</t>
  </si>
  <si>
    <t xml:space="preserve">Read Me &amp; Status</t>
  </si>
  <si>
    <t xml:space="preserve">Readiness</t>
  </si>
</sst>
</file>

<file path=xl/styles.xml><?xml version="1.0" encoding="utf-8"?>
<styleSheet xmlns="http://schemas.openxmlformats.org/spreadsheetml/2006/main">
  <numFmts count="7">
    <numFmt numFmtId="164" formatCode="General"/>
    <numFmt numFmtId="165" formatCode="General"/>
    <numFmt numFmtId="166" formatCode="0%"/>
    <numFmt numFmtId="167" formatCode="#,##0"/>
    <numFmt numFmtId="168" formatCode="yyyy\-mm\-dd"/>
    <numFmt numFmtId="169" formatCode="0"/>
    <numFmt numFmtId="170" formatCode="\€#,##0.00;[RED]&quot;-€&quot;#,##0.00;;"/>
  </numFmts>
  <fonts count="12">
    <font>
      <sz val="10"/>
      <name val="Arial"/>
      <family val="2"/>
    </font>
    <font>
      <sz val="10"/>
      <name val="Arial"/>
      <family val="0"/>
    </font>
    <font>
      <sz val="10"/>
      <name val="Arial"/>
      <family val="0"/>
    </font>
    <font>
      <sz val="10"/>
      <name val="Arial"/>
      <family val="0"/>
    </font>
    <font>
      <sz val="11"/>
      <name val="Calibri"/>
      <family val="0"/>
      <charset val="1"/>
    </font>
    <font>
      <b val="true"/>
      <sz val="18"/>
      <color rgb="FFFFFFFF"/>
      <name val="Arial"/>
      <family val="2"/>
      <charset val="1"/>
    </font>
    <font>
      <i val="true"/>
      <sz val="10"/>
      <color rgb="FF173B67"/>
      <name val="Arial"/>
      <family val="2"/>
      <charset val="1"/>
    </font>
    <font>
      <sz val="10"/>
      <color rgb="FFA45A00"/>
      <name val="Arial"/>
      <family val="2"/>
      <charset val="1"/>
    </font>
    <font>
      <b val="true"/>
      <sz val="11"/>
      <color rgb="FFFFFFFF"/>
      <name val="Arial"/>
      <family val="2"/>
      <charset val="1"/>
    </font>
    <font>
      <b val="true"/>
      <sz val="10"/>
      <color rgb="FFFFFFFF"/>
      <name val="Arial"/>
      <family val="2"/>
      <charset val="1"/>
    </font>
    <font>
      <sz val="10"/>
      <color rgb="FF20262E"/>
      <name val="Arial"/>
      <family val="2"/>
      <charset val="1"/>
    </font>
    <font>
      <b val="true"/>
      <sz val="10"/>
      <color rgb="FF173B67"/>
      <name val="Arial"/>
      <family val="2"/>
      <charset val="1"/>
    </font>
  </fonts>
  <fills count="10">
    <fill>
      <patternFill patternType="none"/>
    </fill>
    <fill>
      <patternFill patternType="gray125"/>
    </fill>
    <fill>
      <patternFill patternType="solid">
        <fgColor rgb="FF173B67"/>
        <bgColor rgb="FF333399"/>
      </patternFill>
    </fill>
    <fill>
      <patternFill patternType="solid">
        <fgColor rgb="FFDCE9F5"/>
        <bgColor rgb="FFE2F0D9"/>
      </patternFill>
    </fill>
    <fill>
      <patternFill patternType="solid">
        <fgColor rgb="FFFFF2CC"/>
        <bgColor rgb="FFFFF8DE"/>
      </patternFill>
    </fill>
    <fill>
      <patternFill patternType="solid">
        <fgColor rgb="FF2D638F"/>
        <bgColor rgb="FF637083"/>
      </patternFill>
    </fill>
    <fill>
      <patternFill patternType="solid">
        <fgColor rgb="FFF2F5F8"/>
        <bgColor rgb="FFFFFFFF"/>
      </patternFill>
    </fill>
    <fill>
      <patternFill patternType="solid">
        <fgColor rgb="FFFFF8DE"/>
        <bgColor rgb="FFFFF2CC"/>
      </patternFill>
    </fill>
    <fill>
      <patternFill patternType="solid">
        <fgColor rgb="FFE2F0D9"/>
        <bgColor rgb="FFDCE9F5"/>
      </patternFill>
    </fill>
    <fill>
      <patternFill patternType="solid">
        <fgColor rgb="FFFFFFFF"/>
        <bgColor rgb="FFF2F5F8"/>
      </patternFill>
    </fill>
  </fills>
  <borders count="3">
    <border diagonalUp="false" diagonalDown="false">
      <left/>
      <right/>
      <top/>
      <bottom/>
      <diagonal/>
    </border>
    <border diagonalUp="false" diagonalDown="false">
      <left style="thin">
        <color rgb="FFB7C9DB"/>
      </left>
      <right style="thin">
        <color rgb="FFB7C9DB"/>
      </right>
      <top style="thin">
        <color rgb="FFB7C9DB"/>
      </top>
      <bottom style="thin">
        <color rgb="FFB7C9DB"/>
      </bottom>
      <diagonal/>
    </border>
    <border diagonalUp="false" diagonalDown="false">
      <left style="thin">
        <color rgb="FFE6B85C"/>
      </left>
      <right style="thin">
        <color rgb="FFE6B85C"/>
      </right>
      <top style="thin">
        <color rgb="FFE6B85C"/>
      </top>
      <bottom style="thin">
        <color rgb="FFE6B85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general" vertical="center" textRotation="0" wrapText="true" indent="0" shrinkToFit="false"/>
      <protection locked="true" hidden="false"/>
    </xf>
    <xf numFmtId="164" fontId="6" fillId="3" borderId="1" xfId="20" applyFont="true" applyBorder="true" applyAlignment="true" applyProtection="false">
      <alignment horizontal="general" vertical="center" textRotation="0" wrapText="true" indent="0" shrinkToFit="false"/>
      <protection locked="true" hidden="false"/>
    </xf>
    <xf numFmtId="164" fontId="7" fillId="4" borderId="2" xfId="20" applyFont="true" applyBorder="true" applyAlignment="true" applyProtection="false">
      <alignment horizontal="general" vertical="center" textRotation="0" wrapText="true" indent="0" shrinkToFit="false"/>
      <protection locked="true" hidden="false"/>
    </xf>
    <xf numFmtId="164" fontId="8" fillId="5" borderId="1" xfId="20" applyFont="true" applyBorder="true" applyAlignment="true" applyProtection="false">
      <alignment horizontal="general" vertical="center" textRotation="0" wrapText="true" indent="0" shrinkToFit="false"/>
      <protection locked="true" hidden="false"/>
    </xf>
    <xf numFmtId="164" fontId="9" fillId="2" borderId="1" xfId="20" applyFont="true" applyBorder="true" applyAlignment="true" applyProtection="false">
      <alignment horizontal="general" vertical="center" textRotation="0" wrapText="true" indent="0" shrinkToFit="false"/>
      <protection locked="true" hidden="false"/>
    </xf>
    <xf numFmtId="164" fontId="10" fillId="0" borderId="1" xfId="20" applyFont="true" applyBorder="true" applyAlignment="true" applyProtection="false">
      <alignment horizontal="general" vertical="top" textRotation="0" wrapText="true" indent="0" shrinkToFit="false"/>
      <protection locked="true" hidden="false"/>
    </xf>
    <xf numFmtId="164" fontId="11" fillId="3" borderId="1" xfId="20" applyFont="true" applyBorder="true" applyAlignment="true" applyProtection="false">
      <alignment horizontal="center" vertical="center" textRotation="0" wrapText="true" indent="0" shrinkToFit="false"/>
      <protection locked="true" hidden="false"/>
    </xf>
    <xf numFmtId="165" fontId="10" fillId="6" borderId="1" xfId="20" applyFont="true" applyBorder="true" applyAlignment="true" applyProtection="false">
      <alignment horizontal="general" vertical="top" textRotation="0" wrapText="true" indent="0" shrinkToFit="false"/>
      <protection locked="true" hidden="false"/>
    </xf>
    <xf numFmtId="166" fontId="10" fillId="6" borderId="1" xfId="20" applyFont="true" applyBorder="true" applyAlignment="true" applyProtection="false">
      <alignment horizontal="general" vertical="top" textRotation="0" wrapText="true" indent="0" shrinkToFit="false"/>
      <protection locked="true" hidden="false"/>
    </xf>
    <xf numFmtId="164" fontId="10" fillId="7" borderId="1" xfId="20" applyFont="true" applyBorder="true" applyAlignment="true" applyProtection="false">
      <alignment horizontal="general" vertical="top" textRotation="0" wrapText="true" indent="0" shrinkToFit="false"/>
      <protection locked="true" hidden="false"/>
    </xf>
    <xf numFmtId="164" fontId="10" fillId="6" borderId="1" xfId="20" applyFont="true" applyBorder="true" applyAlignment="true" applyProtection="false">
      <alignment horizontal="general" vertical="top" textRotation="0" wrapText="true" indent="0" shrinkToFit="false"/>
      <protection locked="true" hidden="false"/>
    </xf>
    <xf numFmtId="164" fontId="10" fillId="8" borderId="1" xfId="20" applyFont="true" applyBorder="true" applyAlignment="true" applyProtection="false">
      <alignment horizontal="general" vertical="top" textRotation="0" wrapText="true" indent="0" shrinkToFit="false"/>
      <protection locked="true" hidden="false"/>
    </xf>
    <xf numFmtId="164" fontId="10" fillId="4" borderId="1" xfId="20" applyFont="true" applyBorder="true" applyAlignment="true" applyProtection="false">
      <alignment horizontal="general" vertical="top" textRotation="0" wrapText="true" indent="0" shrinkToFit="false"/>
      <protection locked="true" hidden="false"/>
    </xf>
    <xf numFmtId="164" fontId="10" fillId="3" borderId="1" xfId="20" applyFont="true" applyBorder="true" applyAlignment="true" applyProtection="false">
      <alignment horizontal="general" vertical="top" textRotation="0" wrapText="true" indent="0" shrinkToFit="false"/>
      <protection locked="true" hidden="false"/>
    </xf>
    <xf numFmtId="164" fontId="10" fillId="9" borderId="1" xfId="20" applyFont="true" applyBorder="true" applyAlignment="true" applyProtection="false">
      <alignment horizontal="general" vertical="top" textRotation="0" wrapText="true" indent="0" shrinkToFit="false"/>
      <protection locked="true" hidden="false"/>
    </xf>
    <xf numFmtId="167" fontId="10" fillId="7" borderId="1" xfId="20" applyFont="true" applyBorder="true" applyAlignment="true" applyProtection="false">
      <alignment horizontal="general" vertical="top" textRotation="0" wrapText="true" indent="0" shrinkToFit="false"/>
      <protection locked="true" hidden="false"/>
    </xf>
    <xf numFmtId="168" fontId="10" fillId="7" borderId="1" xfId="20" applyFont="true" applyBorder="true" applyAlignment="true" applyProtection="false">
      <alignment horizontal="general" vertical="top" textRotation="0" wrapText="true" indent="0" shrinkToFit="false"/>
      <protection locked="true" hidden="false"/>
    </xf>
    <xf numFmtId="169" fontId="10" fillId="7" borderId="1" xfId="20" applyFont="true" applyBorder="true" applyAlignment="true" applyProtection="false">
      <alignment horizontal="general" vertical="top" textRotation="0" wrapText="true" indent="0" shrinkToFit="false"/>
      <protection locked="true" hidden="false"/>
    </xf>
    <xf numFmtId="170" fontId="10" fillId="7" borderId="1" xfId="20" applyFont="true" applyBorder="true" applyAlignment="true" applyProtection="false">
      <alignment horizontal="general" vertical="top" textRotation="0" wrapText="true" indent="0" shrinkToFit="false"/>
      <protection locked="true" hidden="false"/>
    </xf>
    <xf numFmtId="168" fontId="10" fillId="6" borderId="1" xfId="20" applyFont="true" applyBorder="true" applyAlignment="true" applyProtection="false">
      <alignment horizontal="general" vertical="top" textRotation="0" wrapText="true" indent="0" shrinkToFit="false"/>
      <protection locked="true" hidden="false"/>
    </xf>
    <xf numFmtId="169" fontId="10" fillId="6" borderId="1" xfId="20" applyFont="true" applyBorder="true" applyAlignment="true" applyProtection="false">
      <alignment horizontal="general" vertical="top" textRotation="0" wrapText="true" indent="0" shrinkToFit="false"/>
      <protection locked="true" hidden="false"/>
    </xf>
    <xf numFmtId="170" fontId="10" fillId="6" borderId="1" xfId="20" applyFont="tru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4">
    <dxf>
      <font>
        <color rgb="FF548235"/>
      </font>
      <fill>
        <patternFill>
          <bgColor rgb="FFE2F0D9"/>
        </patternFill>
      </fill>
    </dxf>
    <dxf>
      <font>
        <color rgb="FFC00000"/>
      </font>
      <fill>
        <patternFill>
          <bgColor rgb="FFFCE4D6"/>
        </patternFill>
      </fill>
    </dxf>
    <dxf>
      <font>
        <color rgb="FF9C6500"/>
      </font>
      <fill>
        <patternFill>
          <bgColor rgb="FFFFF2CC"/>
        </patternFill>
      </fill>
    </dxf>
    <dxf>
      <font>
        <color rgb="FF637083"/>
      </font>
      <fill>
        <patternFill>
          <bgColor rgb="FFF2F5F8"/>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9C6500"/>
      <rgbColor rgb="FF800080"/>
      <rgbColor rgb="FF008080"/>
      <rgbColor rgb="FFB7C9DB"/>
      <rgbColor rgb="FF808080"/>
      <rgbColor rgb="FF9999FF"/>
      <rgbColor rgb="FF993366"/>
      <rgbColor rgb="FFFFF8DE"/>
      <rgbColor rgb="FFDCE9F5"/>
      <rgbColor rgb="FF660066"/>
      <rgbColor rgb="FFFF8080"/>
      <rgbColor rgb="FF2D638F"/>
      <rgbColor rgb="FFCCCCFF"/>
      <rgbColor rgb="FF000080"/>
      <rgbColor rgb="FFFF00FF"/>
      <rgbColor rgb="FFFFFF00"/>
      <rgbColor rgb="FF00FFFF"/>
      <rgbColor rgb="FF800080"/>
      <rgbColor rgb="FF800000"/>
      <rgbColor rgb="FF008080"/>
      <rgbColor rgb="FF0000FF"/>
      <rgbColor rgb="FF00CCFF"/>
      <rgbColor rgb="FFF2F5F8"/>
      <rgbColor rgb="FFE2F0D9"/>
      <rgbColor rgb="FFFFF2CC"/>
      <rgbColor rgb="FF99CCFF"/>
      <rgbColor rgb="FFFF99CC"/>
      <rgbColor rgb="FFCC99FF"/>
      <rgbColor rgb="FFFCE4D6"/>
      <rgbColor rgb="FF3366FF"/>
      <rgbColor rgb="FF33CCCC"/>
      <rgbColor rgb="FF99CC00"/>
      <rgbColor rgb="FFE6B85C"/>
      <rgbColor rgb="FFFF9900"/>
      <rgbColor rgb="FFFF6600"/>
      <rgbColor rgb="FF637083"/>
      <rgbColor rgb="FF969696"/>
      <rgbColor rgb="FF173B67"/>
      <rgbColor rgb="FF548235"/>
      <rgbColor rgb="FF003300"/>
      <rgbColor rgb="FF333300"/>
      <rgbColor rgb="FFA45A00"/>
      <rgbColor rgb="FF993366"/>
      <rgbColor rgb="FF333399"/>
      <rgbColor rgb="FF2026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83203125" defaultRowHeight="13.5" zeroHeight="false" outlineLevelRow="0" outlineLevelCol="0"/>
  <cols>
    <col collapsed="false" customWidth="true" hidden="false" outlineLevel="0" max="1" min="1" style="0" width="10"/>
    <col collapsed="false" customWidth="true" hidden="false" outlineLevel="0" max="2" min="2" style="0" width="29"/>
    <col collapsed="false" customWidth="true" hidden="false" outlineLevel="0" max="3" min="3" style="0" width="44"/>
    <col collapsed="false" customWidth="true" hidden="false" outlineLevel="0" max="4" min="4" style="0" width="20"/>
    <col collapsed="false" customWidth="true" hidden="false" outlineLevel="0" max="5" min="5" style="0" width="32"/>
    <col collapsed="false" customWidth="true" hidden="false" outlineLevel="0" max="6" min="6" style="0" width="31"/>
  </cols>
  <sheetData>
    <row r="1" customFormat="false" ht="33.75" hidden="false" customHeight="true" outlineLevel="0" collapsed="false">
      <c r="A1" s="1" t="s">
        <v>0</v>
      </c>
      <c r="B1" s="1"/>
      <c r="C1" s="1"/>
      <c r="D1" s="1"/>
      <c r="E1" s="1"/>
      <c r="F1" s="1"/>
    </row>
    <row r="2" customFormat="false" ht="25.5" hidden="false" customHeight="true" outlineLevel="0" collapsed="false">
      <c r="A2" s="2" t="s">
        <v>1</v>
      </c>
      <c r="B2" s="2"/>
      <c r="C2" s="2"/>
      <c r="D2" s="2"/>
      <c r="E2" s="2"/>
      <c r="F2" s="2"/>
    </row>
    <row r="4" customFormat="false" ht="13.5" hidden="false" customHeight="true" outlineLevel="0" collapsed="false">
      <c r="A4" s="3" t="s">
        <v>2</v>
      </c>
      <c r="B4" s="3"/>
      <c r="C4" s="3"/>
      <c r="D4" s="3"/>
      <c r="E4" s="3"/>
      <c r="F4" s="3"/>
    </row>
    <row r="5" customFormat="false" ht="13.5" hidden="false" customHeight="false" outlineLevel="0" collapsed="false">
      <c r="A5" s="3"/>
      <c r="B5" s="3"/>
      <c r="C5" s="3"/>
      <c r="D5" s="3"/>
      <c r="E5" s="3"/>
      <c r="F5" s="3"/>
    </row>
    <row r="7" customFormat="false" ht="24" hidden="false" customHeight="true" outlineLevel="0" collapsed="false">
      <c r="A7" s="4" t="s">
        <v>3</v>
      </c>
      <c r="B7" s="4"/>
      <c r="C7" s="4"/>
      <c r="D7" s="4"/>
      <c r="E7" s="4"/>
      <c r="F7" s="4"/>
    </row>
    <row r="8" customFormat="false" ht="30.75" hidden="false" customHeight="true" outlineLevel="0" collapsed="false">
      <c r="A8" s="5" t="s">
        <v>4</v>
      </c>
      <c r="B8" s="6" t="s">
        <v>5</v>
      </c>
      <c r="C8" s="5" t="s">
        <v>6</v>
      </c>
      <c r="D8" s="6" t="s">
        <v>7</v>
      </c>
      <c r="E8" s="5" t="s">
        <v>8</v>
      </c>
      <c r="F8" s="6" t="s">
        <v>9</v>
      </c>
    </row>
    <row r="9" customFormat="false" ht="30.75" hidden="false" customHeight="true" outlineLevel="0" collapsed="false">
      <c r="A9" s="5" t="s">
        <v>10</v>
      </c>
      <c r="B9" s="6" t="s">
        <v>11</v>
      </c>
      <c r="C9" s="6"/>
      <c r="D9" s="6"/>
      <c r="E9" s="5" t="s">
        <v>12</v>
      </c>
      <c r="F9" s="6" t="s">
        <v>13</v>
      </c>
    </row>
    <row r="10" customFormat="false" ht="30.75" hidden="false" customHeight="true" outlineLevel="0" collapsed="false">
      <c r="A10" s="5" t="s">
        <v>14</v>
      </c>
      <c r="B10" s="6" t="s">
        <v>15</v>
      </c>
      <c r="C10" s="6"/>
      <c r="D10" s="6"/>
      <c r="E10" s="6"/>
      <c r="F10" s="6"/>
    </row>
    <row r="12" customFormat="false" ht="24" hidden="false" customHeight="true" outlineLevel="0" collapsed="false">
      <c r="A12" s="4" t="s">
        <v>16</v>
      </c>
      <c r="B12" s="4"/>
      <c r="C12" s="4"/>
      <c r="D12" s="4"/>
      <c r="E12" s="4"/>
      <c r="F12" s="4"/>
    </row>
    <row r="13" customFormat="false" ht="31.5" hidden="false" customHeight="true" outlineLevel="0" collapsed="false">
      <c r="A13" s="7" t="s">
        <v>17</v>
      </c>
      <c r="B13" s="6" t="s">
        <v>18</v>
      </c>
      <c r="C13" s="6"/>
      <c r="D13" s="6"/>
      <c r="E13" s="6"/>
      <c r="F13" s="6"/>
    </row>
    <row r="14" customFormat="false" ht="31.5" hidden="false" customHeight="true" outlineLevel="0" collapsed="false">
      <c r="A14" s="7" t="s">
        <v>19</v>
      </c>
      <c r="B14" s="6" t="s">
        <v>20</v>
      </c>
      <c r="C14" s="6"/>
      <c r="D14" s="6"/>
      <c r="E14" s="6"/>
      <c r="F14" s="6"/>
    </row>
    <row r="15" customFormat="false" ht="31.5" hidden="false" customHeight="true" outlineLevel="0" collapsed="false">
      <c r="A15" s="7" t="s">
        <v>21</v>
      </c>
      <c r="B15" s="6" t="s">
        <v>22</v>
      </c>
      <c r="C15" s="6"/>
      <c r="D15" s="6"/>
      <c r="E15" s="6"/>
      <c r="F15" s="6"/>
    </row>
    <row r="17" customFormat="false" ht="24" hidden="false" customHeight="true" outlineLevel="0" collapsed="false">
      <c r="A17" s="4" t="s">
        <v>23</v>
      </c>
      <c r="B17" s="4"/>
      <c r="C17" s="4"/>
      <c r="D17" s="4"/>
      <c r="E17" s="4"/>
      <c r="F17" s="4"/>
    </row>
    <row r="18" customFormat="false" ht="27.75" hidden="false" customHeight="true" outlineLevel="0" collapsed="false">
      <c r="A18" s="5" t="s">
        <v>24</v>
      </c>
      <c r="B18" s="5" t="s">
        <v>25</v>
      </c>
      <c r="D18" s="5" t="s">
        <v>26</v>
      </c>
      <c r="E18" s="5"/>
      <c r="F18" s="5" t="s">
        <v>27</v>
      </c>
    </row>
    <row r="19" customFormat="false" ht="42" hidden="false" customHeight="true" outlineLevel="0" collapsed="false">
      <c r="A19" s="6" t="s">
        <v>28</v>
      </c>
      <c r="B19" s="8" t="n">
        <f aca="false">COUNTIF('Bidder Details'!D5:D16,"Complete")+COUNTIF('Dates &amp; Event'!D5:D11,"Complete")+COUNTIF('Courses &amp; Operations'!D5:D14,"Complete")+COUNTIF('Fees &amp; Services'!D5:D12,"Complete")+COUNTIF('Media &amp; Funding'!D8:D16,"Complete")+COUNTIF('Compliance &amp; Variances'!E6:E13,"Complete")+COUNTIF('Bidder Details'!D5:D16,"Variance")+COUNTIF('Dates &amp; Event'!D5:D11,"Variance")+COUNTIF('Courses &amp; Operations'!D5:D14,"Variance")+COUNTIF('Fees &amp; Services'!D5:D12,"Variance")+COUNTIF('Media &amp; Funding'!D8:D16,"Variance")+COUNTIF('Compliance &amp; Variances'!E6:E13,"Variance")</f>
        <v>37</v>
      </c>
      <c r="D19" s="9" t="n">
        <f aca="false">IF((B19+B20)=0,0,B19/(B19+B20))</f>
        <v>0.755102040816327</v>
      </c>
      <c r="E19" s="9"/>
      <c r="F19" s="10" t="s">
        <v>29</v>
      </c>
    </row>
    <row r="20" customFormat="false" ht="42" hidden="false" customHeight="true" outlineLevel="0" collapsed="false">
      <c r="A20" s="6" t="s">
        <v>30</v>
      </c>
      <c r="B20" s="8" t="n">
        <f aca="false">COUNTIF('Bidder Details'!D5:D16,"Missing")+COUNTIF('Dates &amp; Event'!D5:D11,"Missing")+COUNTIF('Courses &amp; Operations'!D5:D14,"Missing")+COUNTIF('Fees &amp; Services'!D5:D12,"Missing")+COUNTIF('Media &amp; Funding'!D8:D16,"Missing")+COUNTIF('Compliance &amp; Variances'!E6:E13,"Missing")</f>
        <v>12</v>
      </c>
      <c r="D20" s="11"/>
      <c r="E20" s="11"/>
      <c r="F20" s="12" t="s">
        <v>31</v>
      </c>
    </row>
    <row r="21" customFormat="false" ht="27.75" hidden="false" customHeight="true" outlineLevel="0" collapsed="false">
      <c r="A21" s="6" t="s">
        <v>32</v>
      </c>
      <c r="B21" s="8" t="n">
        <f aca="false">COUNTIF('Bidder Details'!D5:D16,"Variance")+COUNTIF('Dates &amp; Event'!D5:D11,"Variance")+COUNTIF('Courses &amp; Operations'!D5:D14,"Variance")+COUNTIF('Fees &amp; Services'!D5:D12,"Variance")+COUNTIF('Media &amp; Funding'!D8:D16,"Variance")+COUNTIF('Compliance &amp; Variances'!E6:E13,"Variance")</f>
        <v>0</v>
      </c>
      <c r="D21" s="11"/>
      <c r="E21" s="11"/>
      <c r="F21" s="13" t="s">
        <v>33</v>
      </c>
    </row>
    <row r="22" customFormat="false" ht="27.75" hidden="false" customHeight="true" outlineLevel="0" collapsed="false">
      <c r="A22" s="6" t="s">
        <v>34</v>
      </c>
      <c r="B22" s="11" t="str">
        <f aca="false">IF(B20&gt;0,"Outstanding items",IF(B21&gt;0,"Review variances","Ready for submission"))</f>
        <v>Outstanding items</v>
      </c>
      <c r="D22" s="11"/>
      <c r="E22" s="11"/>
      <c r="F22" s="14" t="s">
        <v>35</v>
      </c>
    </row>
    <row r="24" customFormat="false" ht="24" hidden="false" customHeight="true" outlineLevel="0" collapsed="false">
      <c r="A24" s="4" t="s">
        <v>36</v>
      </c>
      <c r="B24" s="4"/>
      <c r="C24" s="4"/>
      <c r="D24" s="4"/>
      <c r="E24" s="4"/>
      <c r="F24" s="4"/>
    </row>
    <row r="25" customFormat="false" ht="27.75" hidden="false" customHeight="true" outlineLevel="0" collapsed="false">
      <c r="A25" s="5" t="s">
        <v>37</v>
      </c>
      <c r="B25" s="5" t="s">
        <v>38</v>
      </c>
      <c r="C25" s="5" t="s">
        <v>39</v>
      </c>
      <c r="D25" s="5" t="s">
        <v>40</v>
      </c>
      <c r="E25" s="5" t="s">
        <v>41</v>
      </c>
      <c r="F25" s="5" t="s">
        <v>42</v>
      </c>
    </row>
    <row r="26" customFormat="false" ht="37.5" hidden="false" customHeight="true" outlineLevel="0" collapsed="false">
      <c r="A26" s="6" t="n">
        <v>1</v>
      </c>
      <c r="B26" s="6" t="s">
        <v>43</v>
      </c>
      <c r="C26" s="6" t="s">
        <v>44</v>
      </c>
      <c r="D26" s="6" t="s">
        <v>45</v>
      </c>
      <c r="E26" s="6" t="s">
        <v>46</v>
      </c>
      <c r="F26" s="6" t="s">
        <v>47</v>
      </c>
    </row>
    <row r="27" customFormat="false" ht="37.5" hidden="false" customHeight="true" outlineLevel="0" collapsed="false">
      <c r="A27" s="6" t="n">
        <v>2</v>
      </c>
      <c r="B27" s="6" t="s">
        <v>48</v>
      </c>
      <c r="C27" s="6" t="s">
        <v>49</v>
      </c>
      <c r="D27" s="6" t="s">
        <v>45</v>
      </c>
      <c r="E27" s="6" t="s">
        <v>50</v>
      </c>
      <c r="F27" s="6" t="s">
        <v>51</v>
      </c>
    </row>
    <row r="28" customFormat="false" ht="37.5" hidden="false" customHeight="true" outlineLevel="0" collapsed="false">
      <c r="A28" s="6" t="n">
        <v>3</v>
      </c>
      <c r="B28" s="6" t="s">
        <v>52</v>
      </c>
      <c r="C28" s="6" t="s">
        <v>53</v>
      </c>
      <c r="D28" s="6" t="s">
        <v>45</v>
      </c>
      <c r="E28" s="6" t="s">
        <v>54</v>
      </c>
      <c r="F28" s="6" t="s">
        <v>55</v>
      </c>
    </row>
    <row r="29" customFormat="false" ht="37.5" hidden="false" customHeight="true" outlineLevel="0" collapsed="false">
      <c r="A29" s="6" t="n">
        <v>4</v>
      </c>
      <c r="B29" s="6" t="s">
        <v>56</v>
      </c>
      <c r="C29" s="6" t="s">
        <v>57</v>
      </c>
      <c r="D29" s="6" t="s">
        <v>45</v>
      </c>
      <c r="E29" s="6" t="s">
        <v>58</v>
      </c>
      <c r="F29" s="6" t="s">
        <v>59</v>
      </c>
    </row>
    <row r="30" customFormat="false" ht="37.5" hidden="false" customHeight="true" outlineLevel="0" collapsed="false">
      <c r="A30" s="6" t="n">
        <v>5</v>
      </c>
      <c r="B30" s="6" t="s">
        <v>60</v>
      </c>
      <c r="C30" s="6" t="s">
        <v>61</v>
      </c>
      <c r="D30" s="6" t="s">
        <v>45</v>
      </c>
      <c r="E30" s="6" t="s">
        <v>62</v>
      </c>
      <c r="F30" s="6" t="s">
        <v>63</v>
      </c>
    </row>
    <row r="31" customFormat="false" ht="37.5" hidden="false" customHeight="true" outlineLevel="0" collapsed="false">
      <c r="A31" s="6" t="n">
        <v>6</v>
      </c>
      <c r="B31" s="6" t="s">
        <v>64</v>
      </c>
      <c r="C31" s="6" t="s">
        <v>65</v>
      </c>
      <c r="D31" s="6" t="s">
        <v>45</v>
      </c>
      <c r="E31" s="6" t="s">
        <v>66</v>
      </c>
      <c r="F31" s="6" t="s">
        <v>67</v>
      </c>
    </row>
    <row r="32" customFormat="false" ht="37.5" hidden="false" customHeight="true" outlineLevel="0" collapsed="false">
      <c r="A32" s="6" t="n">
        <v>7</v>
      </c>
      <c r="B32" s="6" t="s">
        <v>68</v>
      </c>
      <c r="C32" s="6" t="s">
        <v>69</v>
      </c>
      <c r="D32" s="6" t="s">
        <v>70</v>
      </c>
      <c r="E32" s="6" t="s">
        <v>71</v>
      </c>
      <c r="F32" s="6" t="s">
        <v>72</v>
      </c>
    </row>
  </sheetData>
  <mergeCells count="17">
    <mergeCell ref="A1:F1"/>
    <mergeCell ref="A2:F2"/>
    <mergeCell ref="A4:F5"/>
    <mergeCell ref="A7:F7"/>
    <mergeCell ref="B9:D9"/>
    <mergeCell ref="B10:F10"/>
    <mergeCell ref="A12:F12"/>
    <mergeCell ref="B13:F13"/>
    <mergeCell ref="B14:F14"/>
    <mergeCell ref="B15:F15"/>
    <mergeCell ref="A17:F17"/>
    <mergeCell ref="D18:E18"/>
    <mergeCell ref="D19:E19"/>
    <mergeCell ref="D20:E20"/>
    <mergeCell ref="D21:E21"/>
    <mergeCell ref="D22:E22"/>
    <mergeCell ref="A24:F24"/>
  </mergeCells>
  <conditionalFormatting sqref="B22">
    <cfRule type="containsText" priority="2" operator="containsText" aboveAverage="0" equalAverage="0" bottom="0" percent="0" rank="0" text="Complete" dxfId="0">
      <formula>NOT(ISERROR(SEARCH("Complete",B22)))</formula>
    </cfRule>
    <cfRule type="containsText" priority="3" operator="containsText" aboveAverage="0" equalAverage="0" bottom="0" percent="0" rank="0" text="Missing" dxfId="1">
      <formula>NOT(ISERROR(SEARCH("Missing",B22)))</formula>
    </cfRule>
    <cfRule type="containsText" priority="4" operator="containsText" aboveAverage="0" equalAverage="0" bottom="0" percent="0" rank="0" text="Variance" dxfId="2">
      <formula>NOT(ISERROR(SEARCH("Variance",B22)))</formula>
    </cfRule>
    <cfRule type="containsText" priority="5" operator="containsText" aboveAverage="0" equalAverage="0" bottom="0" percent="0" rank="0" text="Optional" dxfId="3">
      <formula>NOT(ISERROR(SEARCH("Optional",B22)))</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83203125" defaultRowHeight="13.5" zeroHeight="false" outlineLevelRow="0" outlineLevelCol="0"/>
  <cols>
    <col collapsed="false" customWidth="true" hidden="false" outlineLevel="0" max="1" min="1" style="0" width="43"/>
    <col collapsed="false" customWidth="true" hidden="false" outlineLevel="0" max="2" min="2" style="0" width="35"/>
    <col collapsed="false" customWidth="true" hidden="false" outlineLevel="0" max="3" min="3" style="0" width="12"/>
    <col collapsed="false" customWidth="true" hidden="false" outlineLevel="0" max="4" min="4" style="0" width="15"/>
    <col collapsed="false" customWidth="true" hidden="false" outlineLevel="0" max="5" min="5" style="0" width="39"/>
  </cols>
  <sheetData>
    <row r="1" customFormat="false" ht="33.75" hidden="false" customHeight="true" outlineLevel="0" collapsed="false">
      <c r="A1" s="1" t="s">
        <v>73</v>
      </c>
      <c r="B1" s="1"/>
      <c r="C1" s="1"/>
      <c r="D1" s="1"/>
      <c r="E1" s="1"/>
    </row>
    <row r="2" customFormat="false" ht="25.5" hidden="false" customHeight="true" outlineLevel="0" collapsed="false">
      <c r="A2" s="2" t="s">
        <v>74</v>
      </c>
      <c r="B2" s="2"/>
      <c r="C2" s="2"/>
      <c r="D2" s="2"/>
      <c r="E2" s="2"/>
    </row>
    <row r="4" customFormat="false" ht="27.75" hidden="false" customHeight="true" outlineLevel="0" collapsed="false">
      <c r="A4" s="5" t="s">
        <v>75</v>
      </c>
      <c r="B4" s="5" t="s">
        <v>76</v>
      </c>
      <c r="C4" s="5" t="s">
        <v>77</v>
      </c>
      <c r="D4" s="5" t="s">
        <v>40</v>
      </c>
      <c r="E4" s="5" t="s">
        <v>78</v>
      </c>
    </row>
    <row r="5" customFormat="false" ht="37.5" hidden="false" customHeight="true" outlineLevel="0" collapsed="false">
      <c r="A5" s="15" t="s">
        <v>79</v>
      </c>
      <c r="B5" s="10" t="s">
        <v>80</v>
      </c>
      <c r="C5" s="8" t="s">
        <v>81</v>
      </c>
      <c r="D5" s="11" t="str">
        <f aca="false">IF(C5="No","Optional",IF(B5&lt;&gt;"","Complete","Missing"))</f>
        <v>Complete</v>
      </c>
      <c r="E5" s="10"/>
    </row>
    <row r="6" customFormat="false" ht="37.5" hidden="false" customHeight="true" outlineLevel="0" collapsed="false">
      <c r="A6" s="15" t="s">
        <v>82</v>
      </c>
      <c r="B6" s="10" t="s">
        <v>83</v>
      </c>
      <c r="C6" s="8" t="s">
        <v>81</v>
      </c>
      <c r="D6" s="11" t="str">
        <f aca="false">IF(C6="No","Optional",IF(B6&lt;&gt;"","Complete","Missing"))</f>
        <v>Complete</v>
      </c>
      <c r="E6" s="10"/>
    </row>
    <row r="7" customFormat="false" ht="37.5" hidden="false" customHeight="true" outlineLevel="0" collapsed="false">
      <c r="A7" s="15" t="s">
        <v>84</v>
      </c>
      <c r="B7" s="10" t="s">
        <v>85</v>
      </c>
      <c r="C7" s="8" t="s">
        <v>81</v>
      </c>
      <c r="D7" s="11" t="str">
        <f aca="false">IF(C7="No","Optional",IF(B7&lt;&gt;"","Complete","Missing"))</f>
        <v>Complete</v>
      </c>
      <c r="E7" s="10"/>
    </row>
    <row r="8" customFormat="false" ht="37.5" hidden="false" customHeight="true" outlineLevel="0" collapsed="false">
      <c r="A8" s="15" t="s">
        <v>86</v>
      </c>
      <c r="B8" s="10" t="s">
        <v>87</v>
      </c>
      <c r="C8" s="8" t="s">
        <v>81</v>
      </c>
      <c r="D8" s="11" t="str">
        <f aca="false">IF(C8="No","Optional",IF(B8&lt;&gt;"","Complete","Missing"))</f>
        <v>Complete</v>
      </c>
      <c r="E8" s="10" t="s">
        <v>88</v>
      </c>
    </row>
    <row r="9" customFormat="false" ht="37.5" hidden="false" customHeight="true" outlineLevel="0" collapsed="false">
      <c r="A9" s="15" t="s">
        <v>89</v>
      </c>
      <c r="B9" s="10" t="s">
        <v>90</v>
      </c>
      <c r="C9" s="8" t="s">
        <v>81</v>
      </c>
      <c r="D9" s="11" t="str">
        <f aca="false">IF(C9="No","Optional",IF(B9&lt;&gt;"","Complete","Missing"))</f>
        <v>Complete</v>
      </c>
      <c r="E9" s="10" t="s">
        <v>91</v>
      </c>
    </row>
    <row r="10" customFormat="false" ht="37.5" hidden="false" customHeight="true" outlineLevel="0" collapsed="false">
      <c r="A10" s="15" t="s">
        <v>92</v>
      </c>
      <c r="B10" s="10"/>
      <c r="C10" s="8" t="s">
        <v>81</v>
      </c>
      <c r="D10" s="11" t="str">
        <f aca="false">IF(C10="No","Optional",IF(B10&lt;&gt;"","Complete","Missing"))</f>
        <v>Missing</v>
      </c>
      <c r="E10" s="10"/>
    </row>
    <row r="11" customFormat="false" ht="37.5" hidden="false" customHeight="true" outlineLevel="0" collapsed="false">
      <c r="A11" s="15" t="s">
        <v>93</v>
      </c>
      <c r="B11" s="10"/>
      <c r="C11" s="8" t="s">
        <v>81</v>
      </c>
      <c r="D11" s="11" t="str">
        <f aca="false">IF(C11="No","Optional",IF(B11&lt;&gt;"","Complete","Missing"))</f>
        <v>Missing</v>
      </c>
      <c r="E11" s="10"/>
    </row>
    <row r="12" customFormat="false" ht="37.5" hidden="false" customHeight="true" outlineLevel="0" collapsed="false">
      <c r="A12" s="15" t="s">
        <v>94</v>
      </c>
      <c r="B12" s="16"/>
      <c r="C12" s="8" t="s">
        <v>81</v>
      </c>
      <c r="D12" s="11" t="str">
        <f aca="false">IF(C12="No","Optional",IF(B12&lt;&gt;"","Complete","Missing"))</f>
        <v>Missing</v>
      </c>
      <c r="E12" s="10"/>
    </row>
    <row r="13" customFormat="false" ht="37.5" hidden="false" customHeight="true" outlineLevel="0" collapsed="false">
      <c r="A13" s="15" t="s">
        <v>95</v>
      </c>
      <c r="B13" s="16"/>
      <c r="C13" s="8" t="s">
        <v>81</v>
      </c>
      <c r="D13" s="11" t="str">
        <f aca="false">IF(C13="No","Optional",IF(B13&lt;&gt;"","Complete","Missing"))</f>
        <v>Missing</v>
      </c>
      <c r="E13" s="10"/>
    </row>
    <row r="14" customFormat="false" ht="37.5" hidden="false" customHeight="true" outlineLevel="0" collapsed="false">
      <c r="A14" s="15" t="s">
        <v>96</v>
      </c>
      <c r="B14" s="16"/>
      <c r="C14" s="8" t="s">
        <v>81</v>
      </c>
      <c r="D14" s="11" t="str">
        <f aca="false">IF(C14="No","Optional",IF(B14&lt;&gt;"","Complete","Missing"))</f>
        <v>Missing</v>
      </c>
      <c r="E14" s="10"/>
    </row>
    <row r="15" customFormat="false" ht="37.5" hidden="false" customHeight="true" outlineLevel="0" collapsed="false">
      <c r="A15" s="15" t="s">
        <v>97</v>
      </c>
      <c r="B15" s="16"/>
      <c r="C15" s="8" t="s">
        <v>81</v>
      </c>
      <c r="D15" s="11" t="str">
        <f aca="false">IF(C15="No","Optional",IF(B15&lt;&gt;"","Complete","Missing"))</f>
        <v>Missing</v>
      </c>
      <c r="E15" s="10"/>
    </row>
    <row r="16" customFormat="false" ht="37.5" hidden="false" customHeight="true" outlineLevel="0" collapsed="false">
      <c r="A16" s="15" t="s">
        <v>98</v>
      </c>
      <c r="B16" s="10"/>
      <c r="C16" s="8" t="s">
        <v>81</v>
      </c>
      <c r="D16" s="11" t="str">
        <f aca="false">IF(C16="No","Optional",IF(B16&lt;&gt;"","Complete","Missing"))</f>
        <v>Missing</v>
      </c>
      <c r="E16" s="10"/>
    </row>
  </sheetData>
  <mergeCells count="2">
    <mergeCell ref="A1:E1"/>
    <mergeCell ref="A2:E2"/>
  </mergeCells>
  <conditionalFormatting sqref="D5:D16">
    <cfRule type="containsText" priority="2" operator="containsText" aboveAverage="0" equalAverage="0" bottom="0" percent="0" rank="0" text="Complete" dxfId="0">
      <formula>NOT(ISERROR(SEARCH("Complete",D5)))</formula>
    </cfRule>
    <cfRule type="containsText" priority="3" operator="containsText" aboveAverage="0" equalAverage="0" bottom="0" percent="0" rank="0" text="Missing" dxfId="1">
      <formula>NOT(ISERROR(SEARCH("Missing",D5)))</formula>
    </cfRule>
    <cfRule type="containsText" priority="4" operator="containsText" aboveAverage="0" equalAverage="0" bottom="0" percent="0" rank="0" text="Variance" dxfId="2">
      <formula>NOT(ISERROR(SEARCH("Variance",D5)))</formula>
    </cfRule>
    <cfRule type="containsText" priority="5" operator="containsText" aboveAverage="0" equalAverage="0" bottom="0" percent="0" rank="0" text="Optional" dxfId="3">
      <formula>NOT(ISERROR(SEARCH("Optional",D5)))</formula>
    </cfRule>
  </conditionalFormatting>
  <dataValidations count="1">
    <dataValidation allowBlank="false" errorStyle="stop" operator="between" showDropDown="false" showErrorMessage="false" showInputMessage="false" sqref="B7" type="list">
      <formula1>"FIFG Masters,FIFG Major 1000,FIFG 500"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83203125" defaultRowHeight="13.5" zeroHeight="false" outlineLevelRow="0" outlineLevelCol="0"/>
  <cols>
    <col collapsed="false" customWidth="true" hidden="false" outlineLevel="0" max="1" min="1" style="0" width="43"/>
    <col collapsed="false" customWidth="true" hidden="false" outlineLevel="0" max="2" min="2" style="0" width="35"/>
    <col collapsed="false" customWidth="true" hidden="false" outlineLevel="0" max="3" min="3" style="0" width="12"/>
    <col collapsed="false" customWidth="true" hidden="false" outlineLevel="0" max="4" min="4" style="0" width="15"/>
    <col collapsed="false" customWidth="true" hidden="false" outlineLevel="0" max="5" min="5" style="0" width="39"/>
  </cols>
  <sheetData>
    <row r="1" customFormat="false" ht="33.75" hidden="false" customHeight="true" outlineLevel="0" collapsed="false">
      <c r="A1" s="1" t="s">
        <v>99</v>
      </c>
      <c r="B1" s="1"/>
      <c r="C1" s="1"/>
      <c r="D1" s="1"/>
      <c r="E1" s="1"/>
    </row>
    <row r="2" customFormat="false" ht="25.5" hidden="false" customHeight="true" outlineLevel="0" collapsed="false">
      <c r="A2" s="2" t="s">
        <v>100</v>
      </c>
      <c r="B2" s="2"/>
      <c r="C2" s="2"/>
      <c r="D2" s="2"/>
      <c r="E2" s="2"/>
    </row>
    <row r="4" customFormat="false" ht="27.75" hidden="false" customHeight="true" outlineLevel="0" collapsed="false">
      <c r="A4" s="5" t="s">
        <v>75</v>
      </c>
      <c r="B4" s="5" t="s">
        <v>76</v>
      </c>
      <c r="C4" s="5" t="s">
        <v>77</v>
      </c>
      <c r="D4" s="5" t="s">
        <v>40</v>
      </c>
      <c r="E4" s="5" t="s">
        <v>78</v>
      </c>
    </row>
    <row r="5" customFormat="false" ht="37.5" hidden="false" customHeight="true" outlineLevel="0" collapsed="false">
      <c r="A5" s="15" t="s">
        <v>101</v>
      </c>
      <c r="B5" s="17" t="s">
        <v>102</v>
      </c>
      <c r="C5" s="8" t="s">
        <v>81</v>
      </c>
      <c r="D5" s="11" t="str">
        <f aca="false">IF(C5="No","Optional",IF(B5&lt;&gt;"","Complete","Missing"))</f>
        <v>Complete</v>
      </c>
      <c r="E5" s="10" t="s">
        <v>103</v>
      </c>
    </row>
    <row r="6" customFormat="false" ht="37.5" hidden="false" customHeight="true" outlineLevel="0" collapsed="false">
      <c r="A6" s="15" t="s">
        <v>104</v>
      </c>
      <c r="B6" s="17" t="s">
        <v>105</v>
      </c>
      <c r="C6" s="8" t="s">
        <v>81</v>
      </c>
      <c r="D6" s="11" t="str">
        <f aca="false">IF(C6="No","Optional",IF(B6&lt;&gt;"","Complete","Missing"))</f>
        <v>Complete</v>
      </c>
      <c r="E6" s="10" t="s">
        <v>106</v>
      </c>
    </row>
    <row r="7" customFormat="false" ht="37.5" hidden="false" customHeight="true" outlineLevel="0" collapsed="false">
      <c r="A7" s="15" t="s">
        <v>107</v>
      </c>
      <c r="B7" s="18" t="n">
        <v>2</v>
      </c>
      <c r="C7" s="8" t="s">
        <v>81</v>
      </c>
      <c r="D7" s="11" t="str">
        <f aca="false">IF(C7="No","Optional",IF(B7&lt;&gt;"","Complete","Missing"))</f>
        <v>Complete</v>
      </c>
      <c r="E7" s="10" t="s">
        <v>108</v>
      </c>
    </row>
    <row r="8" customFormat="false" ht="37.5" hidden="false" customHeight="true" outlineLevel="0" collapsed="false">
      <c r="A8" s="15" t="s">
        <v>109</v>
      </c>
      <c r="B8" s="10" t="n">
        <v>144</v>
      </c>
      <c r="C8" s="8" t="s">
        <v>81</v>
      </c>
      <c r="D8" s="11" t="str">
        <f aca="false">IF(C8="No","Optional",IF(B8&lt;&gt;"","Complete","Missing"))</f>
        <v>Complete</v>
      </c>
      <c r="E8" s="10" t="s">
        <v>110</v>
      </c>
    </row>
    <row r="9" customFormat="false" ht="37.5" hidden="false" customHeight="true" outlineLevel="0" collapsed="false">
      <c r="A9" s="15" t="s">
        <v>111</v>
      </c>
      <c r="B9" s="10"/>
      <c r="C9" s="8" t="s">
        <v>81</v>
      </c>
      <c r="D9" s="11" t="str">
        <f aca="false">IF(C9="No","Optional",IF(B9&lt;&gt;"","Complete","Missing"))</f>
        <v>Missing</v>
      </c>
      <c r="E9" s="10"/>
    </row>
    <row r="10" customFormat="false" ht="37.5" hidden="false" customHeight="true" outlineLevel="0" collapsed="false">
      <c r="A10" s="15" t="s">
        <v>112</v>
      </c>
      <c r="B10" s="10" t="s">
        <v>81</v>
      </c>
      <c r="C10" s="8" t="s">
        <v>81</v>
      </c>
      <c r="D10" s="11" t="str">
        <f aca="false">IF(C10="No","Optional",IF(B10&lt;&gt;"","Complete","Missing"))</f>
        <v>Complete</v>
      </c>
      <c r="E10" s="10" t="s">
        <v>113</v>
      </c>
    </row>
    <row r="11" customFormat="false" ht="37.5" hidden="false" customHeight="true" outlineLevel="0" collapsed="false">
      <c r="A11" s="15" t="s">
        <v>114</v>
      </c>
      <c r="B11" s="10"/>
      <c r="C11" s="8" t="s">
        <v>115</v>
      </c>
      <c r="D11" s="11" t="str">
        <f aca="false">IF(C11="No","Optional",IF(B11&lt;&gt;"","Complete","Missing"))</f>
        <v>Optional</v>
      </c>
      <c r="E11" s="10"/>
    </row>
  </sheetData>
  <mergeCells count="2">
    <mergeCell ref="A1:E1"/>
    <mergeCell ref="A2:E2"/>
  </mergeCells>
  <conditionalFormatting sqref="D5:D11">
    <cfRule type="containsText" priority="2" operator="containsText" aboveAverage="0" equalAverage="0" bottom="0" percent="0" rank="0" text="Complete" dxfId="0">
      <formula>NOT(ISERROR(SEARCH("Complete",D5)))</formula>
    </cfRule>
    <cfRule type="containsText" priority="3" operator="containsText" aboveAverage="0" equalAverage="0" bottom="0" percent="0" rank="0" text="Missing" dxfId="1">
      <formula>NOT(ISERROR(SEARCH("Missing",D5)))</formula>
    </cfRule>
    <cfRule type="containsText" priority="4" operator="containsText" aboveAverage="0" equalAverage="0" bottom="0" percent="0" rank="0" text="Variance" dxfId="2">
      <formula>NOT(ISERROR(SEARCH("Variance",D5)))</formula>
    </cfRule>
    <cfRule type="containsText" priority="5" operator="containsText" aboveAverage="0" equalAverage="0" bottom="0" percent="0" rank="0" text="Optional" dxfId="3">
      <formula>NOT(ISERROR(SEARCH("Optional",D5)))</formula>
    </cfRule>
  </conditionalFormatting>
  <dataValidations count="2">
    <dataValidation allowBlank="false" errorStyle="stop" operator="between" showDropDown="false" showErrorMessage="false" showInputMessage="false" sqref="B9" type="list">
      <formula1>"Yes,No,Pending"</formula1>
      <formula2>0</formula2>
    </dataValidation>
    <dataValidation allowBlank="false" errorStyle="stop" operator="between" showDropDown="false" showErrorMessage="false" showInputMessage="false" sqref="B10"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83203125" defaultRowHeight="13.5" zeroHeight="false" outlineLevelRow="0" outlineLevelCol="0"/>
  <cols>
    <col collapsed="false" customWidth="true" hidden="false" outlineLevel="0" max="1" min="1" style="0" width="43"/>
    <col collapsed="false" customWidth="true" hidden="false" outlineLevel="0" max="2" min="2" style="0" width="35"/>
    <col collapsed="false" customWidth="true" hidden="false" outlineLevel="0" max="3" min="3" style="0" width="12"/>
    <col collapsed="false" customWidth="true" hidden="false" outlineLevel="0" max="4" min="4" style="0" width="15"/>
    <col collapsed="false" customWidth="true" hidden="false" outlineLevel="0" max="5" min="5" style="0" width="39"/>
  </cols>
  <sheetData>
    <row r="1" customFormat="false" ht="33.75" hidden="false" customHeight="true" outlineLevel="0" collapsed="false">
      <c r="A1" s="1" t="s">
        <v>52</v>
      </c>
      <c r="B1" s="1"/>
      <c r="C1" s="1"/>
      <c r="D1" s="1"/>
      <c r="E1" s="1"/>
    </row>
    <row r="2" customFormat="false" ht="25.5" hidden="false" customHeight="true" outlineLevel="0" collapsed="false">
      <c r="A2" s="2" t="s">
        <v>116</v>
      </c>
      <c r="B2" s="2"/>
      <c r="C2" s="2"/>
      <c r="D2" s="2"/>
      <c r="E2" s="2"/>
    </row>
    <row r="4" customFormat="false" ht="27.75" hidden="false" customHeight="true" outlineLevel="0" collapsed="false">
      <c r="A4" s="5" t="s">
        <v>75</v>
      </c>
      <c r="B4" s="5" t="s">
        <v>76</v>
      </c>
      <c r="C4" s="5" t="s">
        <v>77</v>
      </c>
      <c r="D4" s="5" t="s">
        <v>40</v>
      </c>
      <c r="E4" s="5" t="s">
        <v>78</v>
      </c>
    </row>
    <row r="5" customFormat="false" ht="37.5" hidden="false" customHeight="true" outlineLevel="0" collapsed="false">
      <c r="A5" s="15" t="s">
        <v>117</v>
      </c>
      <c r="B5" s="10" t="s">
        <v>118</v>
      </c>
      <c r="C5" s="8" t="s">
        <v>81</v>
      </c>
      <c r="D5" s="11" t="str">
        <f aca="false">IF(C5="No","Optional",IF(B5&lt;&gt;"","Complete","Missing"))</f>
        <v>Complete</v>
      </c>
      <c r="E5" s="10" t="s">
        <v>119</v>
      </c>
    </row>
    <row r="6" customFormat="false" ht="37.5" hidden="false" customHeight="true" outlineLevel="0" collapsed="false">
      <c r="A6" s="15" t="s">
        <v>120</v>
      </c>
      <c r="B6" s="10" t="s">
        <v>121</v>
      </c>
      <c r="C6" s="8" t="s">
        <v>81</v>
      </c>
      <c r="D6" s="11" t="str">
        <f aca="false">IF(C6="No","Optional",IF(B6&lt;&gt;"","Complete","Missing"))</f>
        <v>Complete</v>
      </c>
      <c r="E6" s="10" t="s">
        <v>122</v>
      </c>
    </row>
    <row r="7" customFormat="false" ht="37.5" hidden="false" customHeight="true" outlineLevel="0" collapsed="false">
      <c r="A7" s="15" t="s">
        <v>123</v>
      </c>
      <c r="B7" s="10"/>
      <c r="C7" s="8" t="str">
        <f aca="false">IF(OR('Bidder Details'!B7="FIFG Masters",'Bidder Details'!B7="FIFG Major 1000"),"Yes","No")</f>
        <v>No</v>
      </c>
      <c r="D7" s="11" t="str">
        <f aca="false">IF(C7="No","Optional",IF(B7&lt;&gt;"","Complete","Missing"))</f>
        <v>Optional</v>
      </c>
      <c r="E7" s="10"/>
    </row>
    <row r="8" customFormat="false" ht="37.5" hidden="false" customHeight="true" outlineLevel="0" collapsed="false">
      <c r="A8" s="15" t="s">
        <v>124</v>
      </c>
      <c r="B8" s="10"/>
      <c r="C8" s="8" t="str">
        <f aca="false">IF(OR('Bidder Details'!B7="FIFG Masters",'Bidder Details'!B7="FIFG Major 1000"),"Yes","No")</f>
        <v>No</v>
      </c>
      <c r="D8" s="11" t="str">
        <f aca="false">IF(C8="No","Optional",IF(B8&lt;&gt;"","Complete","Missing"))</f>
        <v>Optional</v>
      </c>
      <c r="E8" s="10"/>
    </row>
    <row r="9" customFormat="false" ht="37.5" hidden="false" customHeight="true" outlineLevel="0" collapsed="false">
      <c r="A9" s="15" t="s">
        <v>125</v>
      </c>
      <c r="B9" s="10" t="s">
        <v>126</v>
      </c>
      <c r="C9" s="8" t="s">
        <v>81</v>
      </c>
      <c r="D9" s="11" t="str">
        <f aca="false">IF(C9="No","Optional",IF(B9&lt;&gt;"","Complete","Missing"))</f>
        <v>Complete</v>
      </c>
      <c r="E9" s="10" t="s">
        <v>127</v>
      </c>
    </row>
    <row r="10" customFormat="false" ht="37.5" hidden="false" customHeight="true" outlineLevel="0" collapsed="false">
      <c r="A10" s="15" t="s">
        <v>128</v>
      </c>
      <c r="B10" s="10" t="s">
        <v>81</v>
      </c>
      <c r="C10" s="8" t="s">
        <v>81</v>
      </c>
      <c r="D10" s="11" t="str">
        <f aca="false">IF(C10="No","Optional",IF(B10&lt;&gt;"","Complete","Missing"))</f>
        <v>Complete</v>
      </c>
      <c r="E10" s="10" t="s">
        <v>129</v>
      </c>
    </row>
    <row r="11" customFormat="false" ht="37.5" hidden="false" customHeight="true" outlineLevel="0" collapsed="false">
      <c r="A11" s="15" t="s">
        <v>130</v>
      </c>
      <c r="B11" s="10" t="s">
        <v>81</v>
      </c>
      <c r="C11" s="8" t="s">
        <v>81</v>
      </c>
      <c r="D11" s="11" t="str">
        <f aca="false">IF(C11="No","Optional",IF(B11&lt;&gt;"","Complete","Missing"))</f>
        <v>Complete</v>
      </c>
      <c r="E11" s="10" t="s">
        <v>131</v>
      </c>
    </row>
    <row r="12" customFormat="false" ht="37.5" hidden="false" customHeight="true" outlineLevel="0" collapsed="false">
      <c r="A12" s="15" t="s">
        <v>132</v>
      </c>
      <c r="B12" s="10" t="s">
        <v>133</v>
      </c>
      <c r="C12" s="8" t="s">
        <v>81</v>
      </c>
      <c r="D12" s="11" t="str">
        <f aca="false">IF(C12="No","Optional",IF(B12&lt;&gt;"","Complete","Missing"))</f>
        <v>Complete</v>
      </c>
      <c r="E12" s="10" t="s">
        <v>134</v>
      </c>
    </row>
    <row r="13" customFormat="false" ht="37.5" hidden="false" customHeight="true" outlineLevel="0" collapsed="false">
      <c r="A13" s="15" t="s">
        <v>135</v>
      </c>
      <c r="B13" s="10" t="s">
        <v>136</v>
      </c>
      <c r="C13" s="8" t="s">
        <v>81</v>
      </c>
      <c r="D13" s="11" t="str">
        <f aca="false">IF(C13="No","Optional",IF(B13&lt;&gt;"","Complete","Missing"))</f>
        <v>Complete</v>
      </c>
      <c r="E13" s="10" t="s">
        <v>137</v>
      </c>
    </row>
    <row r="14" customFormat="false" ht="37.5" hidden="false" customHeight="true" outlineLevel="0" collapsed="false">
      <c r="A14" s="15" t="s">
        <v>138</v>
      </c>
      <c r="B14" s="10" t="s">
        <v>139</v>
      </c>
      <c r="C14" s="8" t="s">
        <v>81</v>
      </c>
      <c r="D14" s="11" t="str">
        <f aca="false">IF(C14="No","Optional",IF(B14&lt;&gt;"","Complete","Missing"))</f>
        <v>Complete</v>
      </c>
      <c r="E14" s="10" t="s">
        <v>140</v>
      </c>
    </row>
  </sheetData>
  <mergeCells count="2">
    <mergeCell ref="A1:E1"/>
    <mergeCell ref="A2:E2"/>
  </mergeCells>
  <conditionalFormatting sqref="D5:D14">
    <cfRule type="containsText" priority="2" operator="containsText" aboveAverage="0" equalAverage="0" bottom="0" percent="0" rank="0" text="Complete" dxfId="0">
      <formula>NOT(ISERROR(SEARCH("Complete",D5)))</formula>
    </cfRule>
    <cfRule type="containsText" priority="3" operator="containsText" aboveAverage="0" equalAverage="0" bottom="0" percent="0" rank="0" text="Missing" dxfId="1">
      <formula>NOT(ISERROR(SEARCH("Missing",D5)))</formula>
    </cfRule>
    <cfRule type="containsText" priority="4" operator="containsText" aboveAverage="0" equalAverage="0" bottom="0" percent="0" rank="0" text="Variance" dxfId="2">
      <formula>NOT(ISERROR(SEARCH("Variance",D5)))</formula>
    </cfRule>
    <cfRule type="containsText" priority="5" operator="containsText" aboveAverage="0" equalAverage="0" bottom="0" percent="0" rank="0" text="Optional" dxfId="3">
      <formula>NOT(ISERROR(SEARCH("Optional",D5)))</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83203125" defaultRowHeight="13.5" zeroHeight="false" outlineLevelRow="0" outlineLevelCol="0"/>
  <cols>
    <col collapsed="false" customWidth="true" hidden="false" outlineLevel="0" max="1" min="1" style="0" width="43"/>
    <col collapsed="false" customWidth="true" hidden="false" outlineLevel="0" max="2" min="2" style="0" width="35"/>
    <col collapsed="false" customWidth="true" hidden="false" outlineLevel="0" max="3" min="3" style="0" width="12"/>
    <col collapsed="false" customWidth="true" hidden="false" outlineLevel="0" max="4" min="4" style="0" width="15"/>
    <col collapsed="false" customWidth="true" hidden="false" outlineLevel="0" max="5" min="5" style="0" width="39"/>
  </cols>
  <sheetData>
    <row r="1" customFormat="false" ht="33.75" hidden="false" customHeight="true" outlineLevel="0" collapsed="false">
      <c r="A1" s="1" t="s">
        <v>141</v>
      </c>
      <c r="B1" s="1"/>
      <c r="C1" s="1"/>
      <c r="D1" s="1"/>
      <c r="E1" s="1"/>
    </row>
    <row r="2" customFormat="false" ht="25.5" hidden="false" customHeight="true" outlineLevel="0" collapsed="false">
      <c r="A2" s="2" t="s">
        <v>142</v>
      </c>
      <c r="B2" s="2"/>
      <c r="C2" s="2"/>
      <c r="D2" s="2"/>
      <c r="E2" s="2"/>
    </row>
    <row r="4" customFormat="false" ht="27.75" hidden="false" customHeight="true" outlineLevel="0" collapsed="false">
      <c r="A4" s="5" t="s">
        <v>75</v>
      </c>
      <c r="B4" s="5" t="s">
        <v>76</v>
      </c>
      <c r="C4" s="5" t="s">
        <v>77</v>
      </c>
      <c r="D4" s="5" t="s">
        <v>40</v>
      </c>
      <c r="E4" s="5" t="s">
        <v>78</v>
      </c>
    </row>
    <row r="5" customFormat="false" ht="37.5" hidden="false" customHeight="true" outlineLevel="0" collapsed="false">
      <c r="A5" s="15" t="s">
        <v>143</v>
      </c>
      <c r="B5" s="19" t="n">
        <v>230</v>
      </c>
      <c r="C5" s="8" t="s">
        <v>81</v>
      </c>
      <c r="D5" s="11" t="str">
        <f aca="false">IF(C5="No","Optional",IF(B5&lt;&gt;"","Complete","Missing"))</f>
        <v>Complete</v>
      </c>
      <c r="E5" s="10" t="s">
        <v>144</v>
      </c>
    </row>
    <row r="6" customFormat="false" ht="37.5" hidden="false" customHeight="true" outlineLevel="0" collapsed="false">
      <c r="A6" s="15" t="s">
        <v>145</v>
      </c>
      <c r="B6" s="10" t="s">
        <v>146</v>
      </c>
      <c r="C6" s="8" t="s">
        <v>81</v>
      </c>
      <c r="D6" s="11" t="str">
        <f aca="false">IF(C6="No","Optional",IF(B6&lt;&gt;"","Complete","Missing"))</f>
        <v>Complete</v>
      </c>
      <c r="E6" s="10" t="s">
        <v>147</v>
      </c>
    </row>
    <row r="7" customFormat="false" ht="37.5" hidden="false" customHeight="true" outlineLevel="0" collapsed="false">
      <c r="A7" s="15" t="s">
        <v>148</v>
      </c>
      <c r="B7" s="19" t="n">
        <v>4000</v>
      </c>
      <c r="C7" s="8" t="s">
        <v>81</v>
      </c>
      <c r="D7" s="11" t="str">
        <f aca="false">IF(C7="No","Optional",IF(B7&lt;&gt;"","Complete","Missing"))</f>
        <v>Complete</v>
      </c>
      <c r="E7" s="10" t="s">
        <v>149</v>
      </c>
    </row>
    <row r="8" customFormat="false" ht="37.5" hidden="false" customHeight="true" outlineLevel="0" collapsed="false">
      <c r="A8" s="15" t="s">
        <v>150</v>
      </c>
      <c r="B8" s="10" t="s">
        <v>81</v>
      </c>
      <c r="C8" s="8" t="s">
        <v>81</v>
      </c>
      <c r="D8" s="11" t="str">
        <f aca="false">IF(C8="No","Optional",IF(B8&lt;&gt;"","Complete","Missing"))</f>
        <v>Complete</v>
      </c>
      <c r="E8" s="10" t="s">
        <v>151</v>
      </c>
    </row>
    <row r="9" customFormat="false" ht="37.5" hidden="false" customHeight="true" outlineLevel="0" collapsed="false">
      <c r="A9" s="15" t="s">
        <v>152</v>
      </c>
      <c r="B9" s="18" t="n">
        <v>2</v>
      </c>
      <c r="C9" s="8" t="s">
        <v>81</v>
      </c>
      <c r="D9" s="11" t="str">
        <f aca="false">IF(C9="No","Optional",IF(B9&lt;&gt;"","Complete","Missing"))</f>
        <v>Complete</v>
      </c>
      <c r="E9" s="10" t="s">
        <v>153</v>
      </c>
    </row>
    <row r="10" customFormat="false" ht="37.5" hidden="false" customHeight="true" outlineLevel="0" collapsed="false">
      <c r="A10" s="15" t="s">
        <v>154</v>
      </c>
      <c r="B10" s="10" t="s">
        <v>155</v>
      </c>
      <c r="C10" s="8" t="s">
        <v>81</v>
      </c>
      <c r="D10" s="11" t="str">
        <f aca="false">IF(C10="No","Optional",IF(B10&lt;&gt;"","Complete","Missing"))</f>
        <v>Complete</v>
      </c>
      <c r="E10" s="10" t="s">
        <v>156</v>
      </c>
    </row>
    <row r="11" customFormat="false" ht="37.5" hidden="false" customHeight="true" outlineLevel="0" collapsed="false">
      <c r="A11" s="15" t="s">
        <v>157</v>
      </c>
      <c r="B11" s="10" t="s">
        <v>158</v>
      </c>
      <c r="C11" s="8" t="s">
        <v>115</v>
      </c>
      <c r="D11" s="11" t="str">
        <f aca="false">IF(C11="No","Optional",IF(B11&lt;&gt;"","Complete","Missing"))</f>
        <v>Optional</v>
      </c>
      <c r="E11" s="10" t="s">
        <v>159</v>
      </c>
    </row>
    <row r="12" customFormat="false" ht="37.5" hidden="false" customHeight="true" outlineLevel="0" collapsed="false">
      <c r="A12" s="15" t="s">
        <v>160</v>
      </c>
      <c r="B12" s="10" t="s">
        <v>161</v>
      </c>
      <c r="C12" s="8" t="s">
        <v>115</v>
      </c>
      <c r="D12" s="11" t="str">
        <f aca="false">IF(C12="No","Optional",IF(B12&lt;&gt;"","Complete","Missing"))</f>
        <v>Optional</v>
      </c>
      <c r="E12" s="10" t="s">
        <v>162</v>
      </c>
    </row>
  </sheetData>
  <mergeCells count="2">
    <mergeCell ref="A1:E1"/>
    <mergeCell ref="A2:E2"/>
  </mergeCells>
  <conditionalFormatting sqref="D5:D12">
    <cfRule type="containsText" priority="2" operator="containsText" aboveAverage="0" equalAverage="0" bottom="0" percent="0" rank="0" text="Complete" dxfId="0">
      <formula>NOT(ISERROR(SEARCH("Complete",D5)))</formula>
    </cfRule>
    <cfRule type="containsText" priority="3" operator="containsText" aboveAverage="0" equalAverage="0" bottom="0" percent="0" rank="0" text="Missing" dxfId="1">
      <formula>NOT(ISERROR(SEARCH("Missing",D5)))</formula>
    </cfRule>
    <cfRule type="containsText" priority="4" operator="containsText" aboveAverage="0" equalAverage="0" bottom="0" percent="0" rank="0" text="Variance" dxfId="2">
      <formula>NOT(ISERROR(SEARCH("Variance",D5)))</formula>
    </cfRule>
    <cfRule type="containsText" priority="5" operator="containsText" aboveAverage="0" equalAverage="0" bottom="0" percent="0" rank="0" text="Optional" dxfId="3">
      <formula>NOT(ISERROR(SEARCH("Optional",D5)))</formula>
    </cfRule>
  </conditionalFormatting>
  <dataValidations count="1">
    <dataValidation allowBlank="false" errorStyle="stop" operator="between" showDropDown="false" showErrorMessage="false" showInputMessage="false" sqref="B8" type="list">
      <formula1>"Yes,No,Partially"</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83203125" defaultRowHeight="13.5" zeroHeight="false" outlineLevelRow="0" outlineLevelCol="0"/>
  <cols>
    <col collapsed="false" customWidth="true" hidden="false" outlineLevel="0" max="1" min="1" style="0" width="43"/>
    <col collapsed="false" customWidth="true" hidden="false" outlineLevel="0" max="2" min="2" style="0" width="35"/>
    <col collapsed="false" customWidth="true" hidden="false" outlineLevel="0" max="3" min="3" style="0" width="12"/>
    <col collapsed="false" customWidth="true" hidden="false" outlineLevel="0" max="4" min="4" style="0" width="15"/>
    <col collapsed="false" customWidth="true" hidden="false" outlineLevel="0" max="5" min="5" style="0" width="39"/>
  </cols>
  <sheetData>
    <row r="1" customFormat="false" ht="33.75" hidden="false" customHeight="true" outlineLevel="0" collapsed="false">
      <c r="A1" s="1" t="s">
        <v>163</v>
      </c>
      <c r="B1" s="1"/>
      <c r="C1" s="1"/>
      <c r="D1" s="1"/>
      <c r="E1" s="1"/>
    </row>
    <row r="2" customFormat="false" ht="25.5" hidden="false" customHeight="true" outlineLevel="0" collapsed="false">
      <c r="A2" s="2" t="s">
        <v>164</v>
      </c>
      <c r="B2" s="2"/>
      <c r="C2" s="2"/>
      <c r="D2" s="2"/>
      <c r="E2" s="2"/>
    </row>
    <row r="4" customFormat="false" ht="30" hidden="false" customHeight="true" outlineLevel="0" collapsed="false">
      <c r="A4" s="3" t="s">
        <v>165</v>
      </c>
      <c r="B4" s="3"/>
      <c r="C4" s="3"/>
      <c r="D4" s="3"/>
      <c r="E4" s="3"/>
    </row>
    <row r="5" customFormat="false" ht="30" hidden="false" customHeight="true" outlineLevel="0" collapsed="false">
      <c r="A5" s="3"/>
      <c r="B5" s="3"/>
      <c r="C5" s="3"/>
      <c r="D5" s="3"/>
      <c r="E5" s="3"/>
    </row>
    <row r="7" customFormat="false" ht="27.75" hidden="false" customHeight="true" outlineLevel="0" collapsed="false">
      <c r="A7" s="5" t="s">
        <v>75</v>
      </c>
      <c r="B7" s="5" t="s">
        <v>76</v>
      </c>
      <c r="C7" s="5" t="s">
        <v>77</v>
      </c>
      <c r="D7" s="5" t="s">
        <v>40</v>
      </c>
      <c r="E7" s="5" t="s">
        <v>78</v>
      </c>
    </row>
    <row r="8" customFormat="false" ht="37.5" hidden="false" customHeight="true" outlineLevel="0" collapsed="false">
      <c r="A8" s="15" t="s">
        <v>166</v>
      </c>
      <c r="B8" s="10" t="s">
        <v>167</v>
      </c>
      <c r="C8" s="8" t="s">
        <v>81</v>
      </c>
      <c r="D8" s="11" t="str">
        <f aca="false">IF(C8="No","Optional",IF(B8&lt;&gt;"","Complete","Missing"))</f>
        <v>Complete</v>
      </c>
      <c r="E8" s="10" t="s">
        <v>168</v>
      </c>
    </row>
    <row r="9" customFormat="false" ht="37.5" hidden="false" customHeight="true" outlineLevel="0" collapsed="false">
      <c r="A9" s="15" t="s">
        <v>169</v>
      </c>
      <c r="B9" s="19" t="n">
        <v>25000</v>
      </c>
      <c r="C9" s="8" t="s">
        <v>81</v>
      </c>
      <c r="D9" s="11" t="str">
        <f aca="false">IF(C9="No","Optional",IF(B9&lt;&gt;"","Complete","Missing"))</f>
        <v>Complete</v>
      </c>
      <c r="E9" s="10" t="s">
        <v>170</v>
      </c>
    </row>
    <row r="10" customFormat="false" ht="37.5" hidden="false" customHeight="true" outlineLevel="0" collapsed="false">
      <c r="A10" s="15" t="s">
        <v>171</v>
      </c>
      <c r="B10" s="10" t="s">
        <v>172</v>
      </c>
      <c r="C10" s="8" t="s">
        <v>81</v>
      </c>
      <c r="D10" s="11" t="str">
        <f aca="false">IF(C10="No","Optional",IF(B10&lt;&gt;"","Complete","Missing"))</f>
        <v>Complete</v>
      </c>
      <c r="E10" s="10" t="s">
        <v>173</v>
      </c>
    </row>
    <row r="11" customFormat="false" ht="37.5" hidden="false" customHeight="true" outlineLevel="0" collapsed="false">
      <c r="A11" s="15" t="s">
        <v>174</v>
      </c>
      <c r="B11" s="19" t="n">
        <v>0</v>
      </c>
      <c r="C11" s="8" t="s">
        <v>81</v>
      </c>
      <c r="D11" s="11" t="str">
        <f aca="false">IF(C11="No","Optional",IF(B11&lt;&gt;"","Complete","Missing"))</f>
        <v>Complete</v>
      </c>
      <c r="E11" s="10" t="s">
        <v>175</v>
      </c>
    </row>
    <row r="12" customFormat="false" ht="37.5" hidden="false" customHeight="true" outlineLevel="0" collapsed="false">
      <c r="A12" s="15" t="s">
        <v>176</v>
      </c>
      <c r="B12" s="10" t="s">
        <v>177</v>
      </c>
      <c r="C12" s="8" t="s">
        <v>81</v>
      </c>
      <c r="D12" s="11" t="str">
        <f aca="false">IF(C12="No","Optional",IF(B12&lt;&gt;"","Complete","Missing"))</f>
        <v>Complete</v>
      </c>
      <c r="E12" s="10" t="s">
        <v>178</v>
      </c>
    </row>
    <row r="13" customFormat="false" ht="37.5" hidden="false" customHeight="true" outlineLevel="0" collapsed="false">
      <c r="A13" s="15" t="s">
        <v>179</v>
      </c>
      <c r="B13" s="10" t="s">
        <v>180</v>
      </c>
      <c r="C13" s="8" t="s">
        <v>81</v>
      </c>
      <c r="D13" s="11" t="str">
        <f aca="false">IF(C13="No","Optional",IF(B13&lt;&gt;"","Complete","Missing"))</f>
        <v>Complete</v>
      </c>
      <c r="E13" s="10" t="s">
        <v>181</v>
      </c>
    </row>
    <row r="14" customFormat="false" ht="37.5" hidden="false" customHeight="true" outlineLevel="0" collapsed="false">
      <c r="A14" s="15" t="s">
        <v>182</v>
      </c>
      <c r="B14" s="10" t="s">
        <v>183</v>
      </c>
      <c r="C14" s="8" t="s">
        <v>81</v>
      </c>
      <c r="D14" s="11" t="str">
        <f aca="false">IF(C14="No","Optional",IF(B14&lt;&gt;"","Complete","Missing"))</f>
        <v>Complete</v>
      </c>
      <c r="E14" s="10" t="s">
        <v>184</v>
      </c>
    </row>
    <row r="15" customFormat="false" ht="37.5" hidden="false" customHeight="true" outlineLevel="0" collapsed="false">
      <c r="A15" s="15" t="s">
        <v>185</v>
      </c>
      <c r="B15" s="10" t="s">
        <v>186</v>
      </c>
      <c r="C15" s="8" t="s">
        <v>81</v>
      </c>
      <c r="D15" s="11" t="str">
        <f aca="false">IF(C15="No","Optional",IF(B15&lt;&gt;"","Complete","Missing"))</f>
        <v>Complete</v>
      </c>
      <c r="E15" s="10" t="s">
        <v>187</v>
      </c>
    </row>
    <row r="16" customFormat="false" ht="37.5" hidden="false" customHeight="true" outlineLevel="0" collapsed="false">
      <c r="A16" s="15" t="s">
        <v>188</v>
      </c>
      <c r="B16" s="10" t="s">
        <v>189</v>
      </c>
      <c r="C16" s="8" t="s">
        <v>81</v>
      </c>
      <c r="D16" s="11" t="str">
        <f aca="false">IF(C16="No","Optional",IF(B16&lt;&gt;"","Complete","Missing"))</f>
        <v>Complete</v>
      </c>
      <c r="E16" s="10" t="s">
        <v>190</v>
      </c>
    </row>
  </sheetData>
  <mergeCells count="3">
    <mergeCell ref="A1:E1"/>
    <mergeCell ref="A2:E2"/>
    <mergeCell ref="A4:E5"/>
  </mergeCells>
  <conditionalFormatting sqref="D8:D16">
    <cfRule type="containsText" priority="2" operator="containsText" aboveAverage="0" equalAverage="0" bottom="0" percent="0" rank="0" text="Complete" dxfId="0">
      <formula>NOT(ISERROR(SEARCH("Complete",D8)))</formula>
    </cfRule>
    <cfRule type="containsText" priority="3" operator="containsText" aboveAverage="0" equalAverage="0" bottom="0" percent="0" rank="0" text="Missing" dxfId="1">
      <formula>NOT(ISERROR(SEARCH("Missing",D8)))</formula>
    </cfRule>
    <cfRule type="containsText" priority="4" operator="containsText" aboveAverage="0" equalAverage="0" bottom="0" percent="0" rank="0" text="Variance" dxfId="2">
      <formula>NOT(ISERROR(SEARCH("Variance",D8)))</formula>
    </cfRule>
    <cfRule type="containsText" priority="5" operator="containsText" aboveAverage="0" equalAverage="0" bottom="0" percent="0" rank="0" text="Optional" dxfId="3">
      <formula>NOT(ISERROR(SEARCH("Optional",D8)))</formula>
    </cfRule>
  </conditionalFormatting>
  <dataValidations count="1">
    <dataValidation allowBlank="false" errorStyle="stop" operator="between" showDropDown="false" showErrorMessage="false" showInputMessage="false" sqref="B10" type="list">
      <formula1>"Yes,Partially,No,Pending"</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83203125" defaultRowHeight="13.5" zeroHeight="false" outlineLevelRow="0" outlineLevelCol="0"/>
  <cols>
    <col collapsed="false" customWidth="true" hidden="false" outlineLevel="0" max="1" min="1" style="0" width="42"/>
    <col collapsed="false" customWidth="true" hidden="false" outlineLevel="0" max="2" min="2" style="0" width="24"/>
    <col collapsed="false" customWidth="true" hidden="false" outlineLevel="0" max="3" min="3" style="0" width="31"/>
    <col collapsed="false" customWidth="true" hidden="false" outlineLevel="0" max="4" min="4" style="0" width="13"/>
    <col collapsed="false" customWidth="true" hidden="false" outlineLevel="0" max="5" min="5" style="0" width="16"/>
    <col collapsed="false" customWidth="true" hidden="false" outlineLevel="0" max="6" min="6" style="0" width="32"/>
  </cols>
  <sheetData>
    <row r="1" customFormat="false" ht="33.75" hidden="false" customHeight="true" outlineLevel="0" collapsed="false">
      <c r="A1" s="1" t="s">
        <v>64</v>
      </c>
      <c r="B1" s="1"/>
      <c r="C1" s="1"/>
      <c r="D1" s="1"/>
      <c r="E1" s="1"/>
      <c r="F1" s="1"/>
    </row>
    <row r="2" customFormat="false" ht="25.5" hidden="false" customHeight="true" outlineLevel="0" collapsed="false">
      <c r="A2" s="2" t="s">
        <v>191</v>
      </c>
      <c r="B2" s="2"/>
      <c r="C2" s="2"/>
      <c r="D2" s="2"/>
      <c r="E2" s="2"/>
      <c r="F2" s="2"/>
    </row>
    <row r="4" customFormat="false" ht="24" hidden="false" customHeight="true" outlineLevel="0" collapsed="false">
      <c r="A4" s="4" t="s">
        <v>192</v>
      </c>
      <c r="B4" s="4"/>
      <c r="C4" s="4"/>
      <c r="D4" s="4"/>
      <c r="E4" s="4"/>
      <c r="F4" s="4"/>
    </row>
    <row r="5" customFormat="false" ht="27.75" hidden="false" customHeight="true" outlineLevel="0" collapsed="false">
      <c r="A5" s="5" t="s">
        <v>193</v>
      </c>
      <c r="B5" s="5" t="s">
        <v>194</v>
      </c>
      <c r="C5" s="5" t="s">
        <v>195</v>
      </c>
      <c r="D5" s="5" t="s">
        <v>77</v>
      </c>
      <c r="E5" s="5" t="s">
        <v>40</v>
      </c>
      <c r="F5" s="5" t="s">
        <v>196</v>
      </c>
    </row>
    <row r="6" customFormat="false" ht="39" hidden="false" customHeight="true" outlineLevel="0" collapsed="false">
      <c r="A6" s="6" t="s">
        <v>197</v>
      </c>
      <c r="B6" s="10"/>
      <c r="C6" s="10"/>
      <c r="D6" s="8" t="s">
        <v>81</v>
      </c>
      <c r="E6" s="11" t="str">
        <f aca="false">IF(D6="No","Not applicable",IF(B6="Yes","Complete",IF(B6="No","Variance","Missing")))</f>
        <v>Missing</v>
      </c>
      <c r="F6" s="10"/>
    </row>
    <row r="7" customFormat="false" ht="39" hidden="false" customHeight="true" outlineLevel="0" collapsed="false">
      <c r="A7" s="6" t="s">
        <v>198</v>
      </c>
      <c r="B7" s="10"/>
      <c r="C7" s="10"/>
      <c r="D7" s="8" t="s">
        <v>81</v>
      </c>
      <c r="E7" s="11" t="str">
        <f aca="false">IF(D7="No","Not applicable",IF(B7="Yes","Complete",IF(B7="No","Variance","Missing")))</f>
        <v>Missing</v>
      </c>
      <c r="F7" s="10"/>
    </row>
    <row r="8" customFormat="false" ht="39" hidden="false" customHeight="true" outlineLevel="0" collapsed="false">
      <c r="A8" s="6" t="s">
        <v>199</v>
      </c>
      <c r="B8" s="10" t="s">
        <v>81</v>
      </c>
      <c r="C8" s="10" t="s">
        <v>200</v>
      </c>
      <c r="D8" s="8" t="s">
        <v>81</v>
      </c>
      <c r="E8" s="11" t="str">
        <f aca="false">IF(D8="No","Not applicable",IF(B8="Yes","Complete",IF(B8="No","Variance","Missing")))</f>
        <v>Complete</v>
      </c>
      <c r="F8" s="10" t="s">
        <v>201</v>
      </c>
    </row>
    <row r="9" customFormat="false" ht="39" hidden="false" customHeight="true" outlineLevel="0" collapsed="false">
      <c r="A9" s="6" t="s">
        <v>202</v>
      </c>
      <c r="B9" s="10"/>
      <c r="C9" s="10"/>
      <c r="D9" s="8" t="s">
        <v>81</v>
      </c>
      <c r="E9" s="11" t="str">
        <f aca="false">IF(D9="No","Not applicable",IF(B9="Yes","Complete",IF(B9="No","Variance","Missing")))</f>
        <v>Missing</v>
      </c>
      <c r="F9" s="10"/>
    </row>
    <row r="10" customFormat="false" ht="39" hidden="false" customHeight="true" outlineLevel="0" collapsed="false">
      <c r="A10" s="6" t="s">
        <v>203</v>
      </c>
      <c r="B10" s="10" t="s">
        <v>81</v>
      </c>
      <c r="C10" s="10" t="s">
        <v>204</v>
      </c>
      <c r="D10" s="8" t="s">
        <v>81</v>
      </c>
      <c r="E10" s="11" t="str">
        <f aca="false">IF(D10="No","Not applicable",IF(B10="Yes","Complete",IF(B10="No","Variance","Missing")))</f>
        <v>Complete</v>
      </c>
      <c r="F10" s="10"/>
    </row>
    <row r="11" customFormat="false" ht="39" hidden="false" customHeight="true" outlineLevel="0" collapsed="false">
      <c r="A11" s="6" t="s">
        <v>205</v>
      </c>
      <c r="B11" s="10" t="s">
        <v>81</v>
      </c>
      <c r="C11" s="10" t="s">
        <v>206</v>
      </c>
      <c r="D11" s="8" t="s">
        <v>81</v>
      </c>
      <c r="E11" s="11" t="str">
        <f aca="false">IF(D11="No","Not applicable",IF(B11="Yes","Complete",IF(B11="No","Variance","Missing")))</f>
        <v>Complete</v>
      </c>
      <c r="F11" s="10"/>
    </row>
    <row r="12" customFormat="false" ht="39" hidden="false" customHeight="true" outlineLevel="0" collapsed="false">
      <c r="A12" s="6" t="s">
        <v>207</v>
      </c>
      <c r="B12" s="10" t="s">
        <v>81</v>
      </c>
      <c r="C12" s="10" t="s">
        <v>208</v>
      </c>
      <c r="D12" s="8" t="s">
        <v>81</v>
      </c>
      <c r="E12" s="11" t="str">
        <f aca="false">IF(D12="No","Not applicable",IF(B12="Yes","Complete",IF(B12="No","Variance","Missing")))</f>
        <v>Complete</v>
      </c>
      <c r="F12" s="10"/>
    </row>
    <row r="13" customFormat="false" ht="39" hidden="false" customHeight="true" outlineLevel="0" collapsed="false">
      <c r="A13" s="6" t="s">
        <v>209</v>
      </c>
      <c r="B13" s="10"/>
      <c r="C13" s="10"/>
      <c r="D13" s="8" t="s">
        <v>81</v>
      </c>
      <c r="E13" s="11" t="str">
        <f aca="false">IF(D13="No","Not applicable",IF(B13="Yes","Complete",IF(B13="No","Variance","Missing")))</f>
        <v>Missing</v>
      </c>
      <c r="F13" s="10"/>
    </row>
  </sheetData>
  <mergeCells count="3">
    <mergeCell ref="A1:F1"/>
    <mergeCell ref="A2:F2"/>
    <mergeCell ref="A4:F4"/>
  </mergeCells>
  <conditionalFormatting sqref="E6:E13">
    <cfRule type="containsText" priority="2" operator="containsText" aboveAverage="0" equalAverage="0" bottom="0" percent="0" rank="0" text="Complete" dxfId="0">
      <formula>NOT(ISERROR(SEARCH("Complete",E6)))</formula>
    </cfRule>
    <cfRule type="containsText" priority="3" operator="containsText" aboveAverage="0" equalAverage="0" bottom="0" percent="0" rank="0" text="Missing" dxfId="1">
      <formula>NOT(ISERROR(SEARCH("Missing",E6)))</formula>
    </cfRule>
    <cfRule type="containsText" priority="4" operator="containsText" aboveAverage="0" equalAverage="0" bottom="0" percent="0" rank="0" text="Variance" dxfId="2">
      <formula>NOT(ISERROR(SEARCH("Variance",E6)))</formula>
    </cfRule>
    <cfRule type="containsText" priority="5" operator="containsText" aboveAverage="0" equalAverage="0" bottom="0" percent="0" rank="0" text="Optional" dxfId="3">
      <formula>NOT(ISERROR(SEARCH("Optional",E6)))</formula>
    </cfRule>
  </conditionalFormatting>
  <dataValidations count="1">
    <dataValidation allowBlank="false" errorStyle="stop" operator="between" showDropDown="false" showErrorMessage="false" showInputMessage="false" sqref="B6:B13"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83203125" defaultRowHeight="13.5" zeroHeight="false" outlineLevelRow="0" outlineLevelCol="0"/>
  <cols>
    <col collapsed="false" customWidth="true" hidden="false" outlineLevel="0" max="1" min="1" style="0" width="35"/>
    <col collapsed="false" customWidth="true" hidden="false" outlineLevel="0" max="2" min="2" style="0" width="34"/>
    <col collapsed="false" customWidth="true" hidden="false" outlineLevel="0" max="3" min="3" style="0" width="25"/>
  </cols>
  <sheetData>
    <row r="1" customFormat="false" ht="33.75" hidden="false" customHeight="true" outlineLevel="0" collapsed="false">
      <c r="A1" s="1" t="s">
        <v>210</v>
      </c>
      <c r="B1" s="1"/>
      <c r="C1" s="1"/>
    </row>
    <row r="2" customFormat="false" ht="25.5" hidden="false" customHeight="true" outlineLevel="0" collapsed="false">
      <c r="A2" s="2" t="s">
        <v>211</v>
      </c>
      <c r="B2" s="2"/>
      <c r="C2" s="2"/>
    </row>
    <row r="4" customFormat="false" ht="24" hidden="false" customHeight="true" outlineLevel="0" collapsed="false">
      <c r="A4" s="4" t="s">
        <v>212</v>
      </c>
      <c r="B4" s="4"/>
      <c r="C4" s="4"/>
    </row>
    <row r="5" customFormat="false" ht="27.75" hidden="false" customHeight="true" outlineLevel="0" collapsed="false">
      <c r="A5" s="5" t="s">
        <v>24</v>
      </c>
      <c r="B5" s="5" t="s">
        <v>213</v>
      </c>
      <c r="C5" s="5" t="s">
        <v>214</v>
      </c>
    </row>
    <row r="6" customFormat="false" ht="30.75" hidden="false" customHeight="true" outlineLevel="0" collapsed="false">
      <c r="A6" s="15" t="s">
        <v>215</v>
      </c>
      <c r="B6" s="8" t="str">
        <f aca="false">IF('Bidder Details'!B5="","",'Bidder Details'!B5)</f>
        <v>Italy</v>
      </c>
      <c r="C6" s="8" t="s">
        <v>43</v>
      </c>
    </row>
    <row r="7" customFormat="false" ht="30.75" hidden="false" customHeight="true" outlineLevel="0" collapsed="false">
      <c r="A7" s="15" t="s">
        <v>82</v>
      </c>
      <c r="B7" s="8" t="str">
        <f aca="false">IF('Bidder Details'!B6="","",'Bidder Details'!B6)</f>
        <v>Region 3 (Europe)</v>
      </c>
      <c r="C7" s="8" t="s">
        <v>43</v>
      </c>
    </row>
    <row r="8" customFormat="false" ht="30.75" hidden="false" customHeight="true" outlineLevel="0" collapsed="false">
      <c r="A8" s="15" t="s">
        <v>216</v>
      </c>
      <c r="B8" s="8" t="str">
        <f aca="false">IF('Bidder Details'!B7="","",'Bidder Details'!B7)</f>
        <v>FIFG 500</v>
      </c>
      <c r="C8" s="8" t="s">
        <v>43</v>
      </c>
    </row>
    <row r="9" customFormat="false" ht="30.75" hidden="false" customHeight="true" outlineLevel="0" collapsed="false">
      <c r="A9" s="15" t="s">
        <v>217</v>
      </c>
      <c r="B9" s="8" t="str">
        <f aca="false">IF('Bidder Details'!B9="","",'Bidder Details'!B9)</f>
        <v>Rome, Lazio, Italy – Golf Club Parco de' Medici</v>
      </c>
      <c r="C9" s="8" t="s">
        <v>43</v>
      </c>
    </row>
    <row r="10" customFormat="false" ht="30.75" hidden="false" customHeight="true" outlineLevel="0" collapsed="false">
      <c r="A10" s="15" t="s">
        <v>218</v>
      </c>
      <c r="B10" s="20" t="str">
        <f aca="false">IF('Dates &amp; Event'!B5="","",'Dates &amp; Event'!B5)</f>
        <v>2 July 2027 (official practice day)</v>
      </c>
      <c r="C10" s="8" t="s">
        <v>48</v>
      </c>
    </row>
    <row r="11" customFormat="false" ht="30.75" hidden="false" customHeight="true" outlineLevel="0" collapsed="false">
      <c r="A11" s="15" t="s">
        <v>219</v>
      </c>
      <c r="B11" s="20" t="str">
        <f aca="false">IF('Dates &amp; Event'!B6="","",'Dates &amp; Event'!B6)</f>
        <v>4 July 2027</v>
      </c>
      <c r="C11" s="8" t="s">
        <v>48</v>
      </c>
    </row>
    <row r="12" customFormat="false" ht="30.75" hidden="false" customHeight="true" outlineLevel="0" collapsed="false">
      <c r="A12" s="15" t="s">
        <v>220</v>
      </c>
      <c r="B12" s="21" t="n">
        <f aca="false">IF('Dates &amp; Event'!B7="","",'Dates &amp; Event'!B7)</f>
        <v>2</v>
      </c>
      <c r="C12" s="8" t="s">
        <v>48</v>
      </c>
    </row>
    <row r="13" customFormat="false" ht="30.75" hidden="false" customHeight="true" outlineLevel="0" collapsed="false">
      <c r="A13" s="15" t="s">
        <v>109</v>
      </c>
      <c r="B13" s="8" t="n">
        <f aca="false">IF('Dates &amp; Event'!B8="","",'Dates &amp; Event'!B8)</f>
        <v>144</v>
      </c>
      <c r="C13" s="8" t="s">
        <v>48</v>
      </c>
    </row>
    <row r="14" customFormat="false" ht="30.75" hidden="false" customHeight="true" outlineLevel="0" collapsed="false">
      <c r="A14" s="15" t="s">
        <v>221</v>
      </c>
      <c r="B14" s="8" t="str">
        <f aca="false">IF('Bidder Details'!B12="","",'Bidder Details'!B12)</f>
        <v/>
      </c>
      <c r="C14" s="8" t="s">
        <v>43</v>
      </c>
    </row>
    <row r="15" customFormat="false" ht="30.75" hidden="false" customHeight="true" outlineLevel="0" collapsed="false">
      <c r="A15" s="15" t="s">
        <v>222</v>
      </c>
      <c r="B15" s="8" t="str">
        <f aca="false">IF('Bidder Details'!B13="","",'Bidder Details'!B13)</f>
        <v/>
      </c>
      <c r="C15" s="8" t="s">
        <v>43</v>
      </c>
    </row>
    <row r="16" customFormat="false" ht="30.75" hidden="false" customHeight="true" outlineLevel="0" collapsed="false">
      <c r="A16" s="15" t="s">
        <v>223</v>
      </c>
      <c r="B16" s="8" t="str">
        <f aca="false">IF('Bidder Details'!B14="","",'Bidder Details'!B14)</f>
        <v/>
      </c>
      <c r="C16" s="8" t="s">
        <v>43</v>
      </c>
    </row>
    <row r="17" customFormat="false" ht="30.75" hidden="false" customHeight="true" outlineLevel="0" collapsed="false">
      <c r="A17" s="15" t="s">
        <v>224</v>
      </c>
      <c r="B17" s="8" t="str">
        <f aca="false">IF('Bidder Details'!B15="","",'Bidder Details'!B15)</f>
        <v/>
      </c>
      <c r="C17" s="8" t="s">
        <v>43</v>
      </c>
    </row>
    <row r="18" customFormat="false" ht="30.75" hidden="false" customHeight="true" outlineLevel="0" collapsed="false">
      <c r="A18" s="15" t="s">
        <v>225</v>
      </c>
      <c r="B18" s="22" t="n">
        <f aca="false">IF('Fees &amp; Services'!B5="","",'Fees &amp; Services'!B5)</f>
        <v>230</v>
      </c>
      <c r="C18" s="8" t="s">
        <v>56</v>
      </c>
    </row>
    <row r="19" customFormat="false" ht="30.75" hidden="false" customHeight="true" outlineLevel="0" collapsed="false">
      <c r="A19" s="15" t="s">
        <v>226</v>
      </c>
      <c r="B19" s="8" t="str">
        <f aca="false">IF('Fees &amp; Services'!B6="","",'Fees &amp; Services'!B6)</f>
        <v>EUR 200 – early-bird valid 1–31 March 2027</v>
      </c>
      <c r="C19" s="8" t="s">
        <v>56</v>
      </c>
    </row>
    <row r="20" customFormat="false" ht="30.75" hidden="false" customHeight="true" outlineLevel="0" collapsed="false">
      <c r="A20" s="15" t="s">
        <v>227</v>
      </c>
      <c r="B20" s="21" t="n">
        <f aca="false">IF('Fees &amp; Services'!B9="","",'Fees &amp; Services'!B9)</f>
        <v>2</v>
      </c>
      <c r="C20" s="8" t="s">
        <v>56</v>
      </c>
    </row>
    <row r="21" customFormat="false" ht="30.75" hidden="false" customHeight="true" outlineLevel="0" collapsed="false">
      <c r="A21" s="15" t="s">
        <v>228</v>
      </c>
      <c r="B21" s="8" t="str">
        <f aca="false">IF('Fees &amp; Services'!B8="","",'Fees &amp; Services'!B8)</f>
        <v>Yes</v>
      </c>
      <c r="C21" s="8" t="s">
        <v>56</v>
      </c>
    </row>
    <row r="22" customFormat="false" ht="30.75" hidden="false" customHeight="true" outlineLevel="0" collapsed="false">
      <c r="A22" s="15" t="s">
        <v>148</v>
      </c>
      <c r="B22" s="22" t="n">
        <f aca="false">IF('Fees &amp; Services'!B7="","",'Fees &amp; Services'!B7)</f>
        <v>4000</v>
      </c>
      <c r="C22" s="8" t="s">
        <v>56</v>
      </c>
    </row>
    <row r="23" customFormat="false" ht="30.75" hidden="false" customHeight="true" outlineLevel="0" collapsed="false">
      <c r="A23" s="15" t="s">
        <v>157</v>
      </c>
      <c r="B23" s="8" t="str">
        <f aca="false">IF('Fees &amp; Services'!B11="","",'Fees &amp; Services'!B11)</f>
        <v>Sheraton Rome Parco de' Medici (on site, walking distance to the course) – event rate to be agreed</v>
      </c>
      <c r="C23" s="8" t="s">
        <v>56</v>
      </c>
    </row>
    <row r="24" customFormat="false" ht="30.75" hidden="false" customHeight="true" outlineLevel="0" collapsed="false">
      <c r="A24" s="15" t="s">
        <v>229</v>
      </c>
      <c r="B24" s="8" t="str">
        <f aca="false">IF('Fees &amp; Services'!B12="","",'Fees &amp; Services'!B12)</f>
        <v>Fiumicino (FCO): approx. 12 km, 15–20 min by car. Ciampino (CIA): approx. 20 km, 30 min. Rome Termini: approx. 25–30 min.</v>
      </c>
      <c r="C24" s="8" t="s">
        <v>56</v>
      </c>
    </row>
    <row r="25" customFormat="false" ht="30.75" hidden="false" customHeight="true" outlineLevel="0" collapsed="false">
      <c r="A25" s="15" t="s">
        <v>230</v>
      </c>
      <c r="B25" s="22" t="n">
        <f aca="false">IF('Media &amp; Funding'!B9="","",'Media &amp; Funding'!B9)</f>
        <v>25000</v>
      </c>
      <c r="C25" s="8" t="s">
        <v>60</v>
      </c>
    </row>
    <row r="26" customFormat="false" ht="30.75" hidden="false" customHeight="true" outlineLevel="0" collapsed="false">
      <c r="A26" s="15" t="s">
        <v>231</v>
      </c>
      <c r="B26" s="22" t="n">
        <f aca="false">IF('Media &amp; Funding'!B11="","",'Media &amp; Funding'!B11)</f>
        <v>0</v>
      </c>
      <c r="C26" s="8" t="s">
        <v>60</v>
      </c>
    </row>
    <row r="27" customFormat="false" ht="30.75" hidden="false" customHeight="true" outlineLevel="0" collapsed="false">
      <c r="A27" s="15" t="s">
        <v>232</v>
      </c>
      <c r="B27" s="8" t="str">
        <f aca="false">IF('Media &amp; Funding'!B12="","",'Media &amp; Funding'!B12)</f>
        <v>Applications planned to Regione Lazio (sport and tourism events), Roma Capitale (major events, sport and tourism) and ENIT – Italian National Tourism Agency.</v>
      </c>
      <c r="C27" s="8" t="s">
        <v>60</v>
      </c>
    </row>
    <row r="28" customFormat="false" ht="30.75" hidden="false" customHeight="true" outlineLevel="0" collapsed="false">
      <c r="A28" s="15" t="s">
        <v>233</v>
      </c>
      <c r="B28" s="8" t="str">
        <f aca="false">IF('Media &amp; Funding'!B13="","",'Media &amp; Funding'!B13)</f>
        <v>Local and national sponsors to be approached after the award; in-kind support from the venue/hotel partner. Amounts promoted only once guaranteed in writing.</v>
      </c>
      <c r="C28" s="8" t="s">
        <v>60</v>
      </c>
    </row>
    <row r="29" customFormat="false" ht="30.75" hidden="false" customHeight="true" outlineLevel="0" collapsed="false">
      <c r="A29" s="15" t="s">
        <v>32</v>
      </c>
      <c r="B29" s="8" t="n">
        <f aca="false">'Read Me &amp; Status'!B21</f>
        <v>0</v>
      </c>
      <c r="C29" s="8" t="s">
        <v>234</v>
      </c>
    </row>
    <row r="30" customFormat="false" ht="30.75" hidden="false" customHeight="true" outlineLevel="0" collapsed="false">
      <c r="A30" s="15" t="s">
        <v>26</v>
      </c>
      <c r="B30" s="9" t="n">
        <f aca="false">'Read Me &amp; Status'!D19</f>
        <v>0.755102040816327</v>
      </c>
      <c r="C30" s="8" t="s">
        <v>234</v>
      </c>
    </row>
    <row r="31" customFormat="false" ht="30.75" hidden="false" customHeight="true" outlineLevel="0" collapsed="false">
      <c r="A31" s="15" t="s">
        <v>235</v>
      </c>
      <c r="B31" s="11" t="str">
        <f aca="false">'Read Me &amp; Status'!B22</f>
        <v>Outstanding items</v>
      </c>
      <c r="C31" s="8" t="s">
        <v>234</v>
      </c>
    </row>
  </sheetData>
  <mergeCells count="3">
    <mergeCell ref="A1:C1"/>
    <mergeCell ref="A2:C2"/>
    <mergeCell ref="A4:C4"/>
  </mergeCells>
  <conditionalFormatting sqref="B31">
    <cfRule type="containsText" priority="2" operator="containsText" aboveAverage="0" equalAverage="0" bottom="0" percent="0" rank="0" text="Complete" dxfId="0">
      <formula>NOT(ISERROR(SEARCH("Complete",B31)))</formula>
    </cfRule>
    <cfRule type="containsText" priority="3" operator="containsText" aboveAverage="0" equalAverage="0" bottom="0" percent="0" rank="0" text="Missing" dxfId="1">
      <formula>NOT(ISERROR(SEARCH("Missing",B31)))</formula>
    </cfRule>
    <cfRule type="containsText" priority="4" operator="containsText" aboveAverage="0" equalAverage="0" bottom="0" percent="0" rank="0" text="Variance" dxfId="2">
      <formula>NOT(ISERROR(SEARCH("Variance",B31)))</formula>
    </cfRule>
    <cfRule type="containsText" priority="5" operator="containsText" aboveAverage="0" equalAverage="0" bottom="0" percent="0" rank="0" text="Optional" dxfId="3">
      <formula>NOT(ISERROR(SEARCH("Optional",B31)))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2026-10-29T11:38:34Z</dcterms:created>
  <dc:creator>openpyxl</dc:creator>
  <dc:description/>
  <dc:language>en-US</dc:language>
  <cp:lastModifiedBy/>
  <dcterms:modified xsi:type="dcterms:W3CDTF">2026-10-29T11:38:34Z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