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ività" sheetId="1" state="visible" r:id="rId3"/>
    <sheet name="Preventivo" sheetId="2" state="visible" r:id="rId4"/>
    <sheet name="Riepilogo per area" sheetId="3" state="visible" r:id="rId5"/>
    <sheet name="Community" sheetId="4" state="visible" r:id="rId6"/>
  </sheets>
  <definedNames>
    <definedName function="false" hidden="false" localSheetId="0" name="_xlnm.Print_Titles" vbProcedure="false">Attività!$10:$10</definedName>
    <definedName function="false" hidden="true" localSheetId="0" name="_xlnm._FilterDatabase" vbProcedure="false">Attività!$A$10:$J$35</definedName>
    <definedName function="false" hidden="false" localSheetId="1" name="_xlnm.Print_Titles" vbProcedure="false">Preventivo!$10:$10</definedName>
    <definedName function="false" hidden="true" localSheetId="1" name="_xlnm._FilterDatabase" vbProcedure="false">Preventivo!$A$10:$Q$44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1" authorId="0">
      <text>
        <r>
          <rPr>
            <sz val="10"/>
            <rFont val="Arial"/>
            <family val="2"/>
          </rPr>
          <t xml:space="preserve">Dal preventivo: € 180,00 complessivi per 100 pz,</t>
        </r>
      </text>
    </comment>
    <comment ref="I12" authorId="0">
      <text>
        <r>
          <rPr>
            <sz val="10"/>
            <rFont val="Arial"/>
            <family val="2"/>
          </rPr>
          <t xml:space="preserve">Dal preventivo: € 126,00 complessivi per 250 pz,</t>
        </r>
      </text>
    </comment>
    <comment ref="I13" authorId="0">
      <text>
        <r>
          <rPr>
            <sz val="10"/>
            <rFont val="Arial"/>
            <family val="2"/>
          </rPr>
          <t xml:space="preserve">Dal preventivo: € 50,00 complessivi per 250 pz,</t>
        </r>
      </text>
    </comment>
    <comment ref="I18" authorId="0">
      <text>
        <r>
          <rPr>
            <sz val="10"/>
            <rFont val="Arial"/>
            <family val="2"/>
          </rPr>
          <t xml:space="preserve">Dal preventivo: € 130,00 complessivi per 6 pz,</t>
        </r>
      </text>
    </comment>
    <comment ref="I24" authorId="0">
      <text>
        <r>
          <rPr>
            <sz val="10"/>
            <rFont val="Arial"/>
            <family val="2"/>
          </rPr>
          <t xml:space="preserve">Dal preventivo: € 654,00 complessivi per 18 pz,</t>
        </r>
      </text>
    </comment>
    <comment ref="I28" authorId="0">
      <text>
        <r>
          <rPr>
            <sz val="10"/>
            <rFont val="Arial"/>
            <family val="2"/>
          </rPr>
          <t xml:space="preserve">Dal preventivo: € 150,00 complessivi per 1 fornitura,</t>
        </r>
      </text>
    </comment>
    <comment ref="I35" authorId="0">
      <text>
        <r>
          <rPr>
            <sz val="10"/>
            <rFont val="Arial"/>
            <family val="2"/>
          </rPr>
          <t xml:space="preserve">Dal preventivo: € 370,00 complessivi per 100 pz,</t>
        </r>
      </text>
    </comment>
    <comment ref="I38" authorId="0">
      <text>
        <r>
          <rPr>
            <sz val="10"/>
            <rFont val="Arial"/>
            <family val="2"/>
          </rPr>
          <t xml:space="preserve">Dal preventivo: € 1100,00 complessivi per 1 soggiorno,</t>
        </r>
      </text>
    </comment>
    <comment ref="J6" authorId="0">
      <text>
        <r>
          <rPr>
            <sz val="10"/>
            <rFont val="Arial"/>
            <family val="2"/>
          </rPr>
          <t xml:space="preserve">Inserire qui il budget stanziato per la tappa: il residuo si calcola da solo.</t>
        </r>
      </text>
    </comment>
  </commentList>
</comments>
</file>

<file path=xl/sharedStrings.xml><?xml version="1.0" encoding="utf-8"?>
<sst xmlns="http://schemas.openxmlformats.org/spreadsheetml/2006/main" count="526" uniqueCount="271">
  <si>
    <t xml:space="preserve">PIANO OPERATIVO · TAPPA ZERO</t>
  </si>
  <si>
    <t xml:space="preserve">14–15 Novembre 2026  ·  Il Pelagone Hotel &amp; Golf Resort, Gavorrano (GR)</t>
  </si>
  <si>
    <t xml:space="preserve">Attività istituzionali e preparazione della Tappa Zero  ·  aggiornato al 29 ottobre 2026</t>
  </si>
  <si>
    <t xml:space="preserve">ATTIVITÀ</t>
  </si>
  <si>
    <t xml:space="preserve">PRIORITÀ 1</t>
  </si>
  <si>
    <t xml:space="preserve">IN CORSO O IN REVISIONE</t>
  </si>
  <si>
    <t xml:space="preserve">DA FARE</t>
  </si>
  <si>
    <t xml:space="preserve">FATTE</t>
  </si>
  <si>
    <t xml:space="preserve">LEGENDA</t>
  </si>
  <si>
    <t xml:space="preserve">Priorità 1 = urgente, 2 = media, 3 = bassa, vuota = non assegnata.  Stato: menu a tendina.  Le righe libere in fondo sono pronte per nuove attività.</t>
  </si>
  <si>
    <t xml:space="preserve">N.</t>
  </si>
  <si>
    <t xml:space="preserve">FILONE</t>
  </si>
  <si>
    <t xml:space="preserve">DETTAGLIO</t>
  </si>
  <si>
    <t xml:space="preserve">PRIORITÀ</t>
  </si>
  <si>
    <t xml:space="preserve">TEMPI</t>
  </si>
  <si>
    <t xml:space="preserve">RESPONSABILI</t>
  </si>
  <si>
    <t xml:space="preserve">SCADENZA</t>
  </si>
  <si>
    <t xml:space="preserve">STATO</t>
  </si>
  <si>
    <t xml:space="preserve">NOTE</t>
  </si>
  <si>
    <t xml:space="preserve">Attività istituzionali</t>
  </si>
  <si>
    <t xml:space="preserve">Risoluzione Membership FIFG</t>
  </si>
  <si>
    <t xml:space="preserve">Definizione della posizione di AIFG come membro FIFG.</t>
  </si>
  <si>
    <t xml:space="preserve">In attesa</t>
  </si>
  <si>
    <t xml:space="preserve">BID Submission Open d'Italia</t>
  </si>
  <si>
    <t xml:space="preserve">Candidatura FIFG 500 per l'Open d'Italia, 1–4 luglio a Parco de' Medici.</t>
  </si>
  <si>
    <t xml:space="preserve">In revisione</t>
  </si>
  <si>
    <t xml:space="preserve">Consegna il 30 ottobre.</t>
  </si>
  <si>
    <t xml:space="preserve">Nuove tessere FIFG</t>
  </si>
  <si>
    <t xml:space="preserve">Tessere per i 5 giocatori che vogliono andare a Marrakech (inizio dicembre) e in Turchia (metà dicembre).</t>
  </si>
  <si>
    <t xml:space="preserve">Da fare</t>
  </si>
  <si>
    <t xml:space="preserve">Accordo LNF</t>
  </si>
  <si>
    <t xml:space="preserve">Accordo con la Lega per il 2027 e definizione del 2028.</t>
  </si>
  <si>
    <t xml:space="preserve">Programmata</t>
  </si>
  <si>
    <t xml:space="preserve">Riunione già fissata.</t>
  </si>
  <si>
    <t xml:space="preserve">Campi della Nazionale</t>
  </si>
  <si>
    <t xml:space="preserve">Definizione dei campi: mancano Tolcinasco, Sutri e San Vigilio.</t>
  </si>
  <si>
    <t xml:space="preserve">In corso</t>
  </si>
  <si>
    <t xml:space="preserve">Riunione con tutti gli area manager</t>
  </si>
  <si>
    <t xml:space="preserve">Condividere l'accordo LNF e l'organizzazione dello staff della Tappa Zero.</t>
  </si>
  <si>
    <t xml:space="preserve">Dopo la riunione LNF.</t>
  </si>
  <si>
    <t xml:space="preserve">Area Manager A1–A2 Centro Sud</t>
  </si>
  <si>
    <t xml:space="preserve">Aggiornamento e chiarimento del ruolo per le serie A1 e A2.</t>
  </si>
  <si>
    <t xml:space="preserve">Presentazione Tappa Zero</t>
  </si>
  <si>
    <t xml:space="preserve">Argomenti e scaletta della presentazione</t>
  </si>
  <si>
    <t xml:space="preserve">Temi, ordine degli interventi e tempi della presentazione AIFG.</t>
  </si>
  <si>
    <t xml:space="preserve">1 settimana</t>
  </si>
  <si>
    <t xml:space="preserve">Fabio, Carlo, Alberto</t>
  </si>
  <si>
    <t xml:space="preserve">Nuovo sito internet e Birdie</t>
  </si>
  <si>
    <t xml:space="preserve">Presentazione del nuovo sito AIFG e dell'assistente Birdie.</t>
  </si>
  <si>
    <t xml:space="preserve">Fabio, Carlo</t>
  </si>
  <si>
    <t xml:space="preserve">Vestiario per lo staff</t>
  </si>
  <si>
    <t xml:space="preserve">Polo, maglia e pantalone con i loghi; lista taglie degli area manager.</t>
  </si>
  <si>
    <t xml:space="preserve">1 settimana per la stampa</t>
  </si>
  <si>
    <t xml:space="preserve">Fabio e Carlo: stampe e lista taglie. Alberto: lista taglie.</t>
  </si>
  <si>
    <t xml:space="preserve">Grafiche del materiale marketing</t>
  </si>
  <si>
    <t xml:space="preserve">Brochure e flyer (cernita dei testi di Fabio), logo Match Zero per le fiches.</t>
  </si>
  <si>
    <t xml:space="preserve">quanto prima</t>
  </si>
  <si>
    <t xml:space="preserve">Ordini Pixartprinting entro martedì 3/11 per la tariffa più bassa.</t>
  </si>
  <si>
    <t xml:space="preserve">Gestionale, livescoring, regia e classifiche</t>
  </si>
  <si>
    <t xml:space="preserve">Presentazione del nuovo gestionale e degli strumenti di gara.</t>
  </si>
  <si>
    <t xml:space="preserve">Carlo, Alberto, Stefano Cagnoni</t>
  </si>
  <si>
    <t xml:space="preserve">Stefano Cagnoni eventualmente di supporto.</t>
  </si>
  <si>
    <t xml:space="preserve">Timeline operativa delle 2 giornate</t>
  </si>
  <si>
    <t xml:space="preserve">Orari, ruoli e passaggi delle due giornate per lo staff operativo.</t>
  </si>
  <si>
    <t xml:space="preserve">mezza giornata</t>
  </si>
  <si>
    <t xml:space="preserve">Discorso introduttivo dello stage della Nazionale</t>
  </si>
  <si>
    <t xml:space="preserve">Il messaggio di apertura del ritiro azzurro.</t>
  </si>
  <si>
    <t xml:space="preserve">2 giorni</t>
  </si>
  <si>
    <t xml:space="preserve">Programma della Nazionale</t>
  </si>
  <si>
    <t xml:space="preserve">Programma delle attività della Nazionale durante il weekend.</t>
  </si>
  <si>
    <t xml:space="preserve">Controllo e aggiornamento pagamenti</t>
  </si>
  <si>
    <t xml:space="preserve">Verifica dei pagamenti ricevuti e da ricevere.</t>
  </si>
  <si>
    <t xml:space="preserve">1 ora</t>
  </si>
  <si>
    <t xml:space="preserve">Preventivo della cena</t>
  </si>
  <si>
    <t xml:space="preserve">Menu e costo della cena del weekend.</t>
  </si>
  <si>
    <t xml:space="preserve">Da definire domenica con il Direttore.</t>
  </si>
  <si>
    <t xml:space="preserve">Appartamenti per lo staff</t>
  </si>
  <si>
    <t xml:space="preserve">Alloggi per area manager e staff della Nazionale Italiana.</t>
  </si>
  <si>
    <t xml:space="preserve">Fatto</t>
  </si>
  <si>
    <t xml:space="preserve">Già prenotati: € 1.100 in totale.</t>
  </si>
  <si>
    <t xml:space="preserve">Community Associazione Italiana FootGolf</t>
  </si>
  <si>
    <t xml:space="preserve">Creazione della community ufficiale 2027, con i canali descritti a parte.</t>
  </si>
  <si>
    <t xml:space="preserve">Scorecard</t>
  </si>
  <si>
    <t xml:space="preserve">Bozza di Alberto, da rivedere con un eventuale restyling.</t>
  </si>
  <si>
    <t xml:space="preserve">Alberto</t>
  </si>
  <si>
    <t xml:space="preserve">PREVENTIVO DI SPESA · TAPPA ZERO</t>
  </si>
  <si>
    <t xml:space="preserve">Associazione Italiana FootGolf  ·  materiale, allestimenti, staff e ospitalità  ·  aggiornato al 29 ottobre 2026</t>
  </si>
  <si>
    <t xml:space="preserve">TOTALE BASE</t>
  </si>
  <si>
    <t xml:space="preserve">OPZIONALI</t>
  </si>
  <si>
    <t xml:space="preserve">TOTALE CON OPZIONALI</t>
  </si>
  <si>
    <t xml:space="preserve">VOCI DA DEFINIRE</t>
  </si>
  <si>
    <t xml:space="preserve">BUDGET DISPONIBILE</t>
  </si>
  <si>
    <t xml:space="preserve">RESIDUO SUL TOTALE BASE</t>
  </si>
  <si>
    <t xml:space="preserve">Celle gialle = da compilare (quantità, prezzi, fornitore, link, foto).  Stato e Nel totale: menu a tendina.  Il Totale si calcola da Q.tà × Prezzo unitario.</t>
  </si>
  <si>
    <t xml:space="preserve">AREA</t>
  </si>
  <si>
    <t xml:space="preserve">VOCE</t>
  </si>
  <si>
    <t xml:space="preserve">DESCRIZIONE / SPECIFICHE</t>
  </si>
  <si>
    <t xml:space="preserve">FORNITORE</t>
  </si>
  <si>
    <t xml:space="preserve">Q.TÀ</t>
  </si>
  <si>
    <t xml:space="preserve">UNITÀ</t>
  </si>
  <si>
    <t xml:space="preserve">PREZZO UNITARIO</t>
  </si>
  <si>
    <t xml:space="preserve">TOTALE</t>
  </si>
  <si>
    <t xml:space="preserve">IVA</t>
  </si>
  <si>
    <t xml:space="preserve">NEL TOTALE</t>
  </si>
  <si>
    <t xml:space="preserve">ORDINE</t>
  </si>
  <si>
    <t xml:space="preserve">LINK</t>
  </si>
  <si>
    <t xml:space="preserve">FOTO</t>
  </si>
  <si>
    <t xml:space="preserve">A · Materiale marketing</t>
  </si>
  <si>
    <t xml:space="preserve">Brochure di presentazione</t>
  </si>
  <si>
    <t xml:space="preserve">Formato aperto 63 × 29,7 cm: A4 a 2 pieghe, 6 facciate.</t>
  </si>
  <si>
    <t xml:space="preserve">Emmetre Anagni</t>
  </si>
  <si>
    <t xml:space="preserve">Stampa 10 giorni</t>
  </si>
  <si>
    <t xml:space="preserve">pz</t>
  </si>
  <si>
    <t xml:space="preserve">Da verificare</t>
  </si>
  <si>
    <t xml:space="preserve">Preventivo</t>
  </si>
  <si>
    <t xml:space="preserve">Sì</t>
  </si>
  <si>
    <t xml:space="preserve">Da ordinare</t>
  </si>
  <si>
    <t xml:space="preserve">incolla qui la foto</t>
  </si>
  <si>
    <t xml:space="preserve">Grafica e argomenti da definire.</t>
  </si>
  <si>
    <t xml:space="preserve">Pieghevole A3</t>
  </si>
  <si>
    <t xml:space="preserve">2 pieghe, 6 facciate, formato A3 (29 × 42 cm) orizzontale.</t>
  </si>
  <si>
    <t xml:space="preserve">Pixartprinting</t>
  </si>
  <si>
    <t xml:space="preserve">Ordine entro martedì 3/11</t>
  </si>
  <si>
    <t xml:space="preserve">Alternativa</t>
  </si>
  <si>
    <t xml:space="preserve">No</t>
  </si>
  <si>
    <t xml:space="preserve">In alternativa alla brochure. Entro martedì per la tariffa più bassa.</t>
  </si>
  <si>
    <t xml:space="preserve">Flyer Promozione AIFG 2027</t>
  </si>
  <si>
    <t xml:space="preserve">Flyer con le promozioni della stagione 2027.</t>
  </si>
  <si>
    <t xml:space="preserve">Testi già scritti da Fabio: fare la cernita.</t>
  </si>
  <si>
    <t xml:space="preserve">Fiches personalizzate</t>
  </si>
  <si>
    <t xml:space="preserve">Una fiche per giocatore con il nome, usata in campo come ball marker. Grafica con il logo Match Zero.</t>
  </si>
  <si>
    <t xml:space="preserve">Veneto</t>
  </si>
  <si>
    <t xml:space="preserve">Stampa 1 settimana</t>
  </si>
  <si>
    <t xml:space="preserve">€ 1,20 a fiche, trattabile.</t>
  </si>
  <si>
    <t xml:space="preserve">B · Punto ristoro e briefing</t>
  </si>
  <si>
    <t xml:space="preserve">Tavoli pieghevoli</t>
  </si>
  <si>
    <t xml:space="preserve">Tavolo pieghevole 180 × 70 × 74 cm, bianco, per briefing e punto ristoro.</t>
  </si>
  <si>
    <t xml:space="preserve">Amazon</t>
  </si>
  <si>
    <t xml:space="preserve">Consegna 1–2 giorni</t>
  </si>
  <si>
    <t xml:space="preserve">Tovaglie punto ristoro</t>
  </si>
  <si>
    <t xml:space="preserve">Tovaglie per i tavoli del punto ristoro.</t>
  </si>
  <si>
    <t xml:space="preserve">amazon.it/dp/B07CZBPPCB</t>
  </si>
  <si>
    <t xml:space="preserve">Bevande, snack e merendine</t>
  </si>
  <si>
    <t xml:space="preserve">Rifornimenti per il punto ristoro.</t>
  </si>
  <si>
    <t xml:space="preserve">Da definire</t>
  </si>
  <si>
    <t xml:space="preserve">Quantità e spesa da definire.</t>
  </si>
  <si>
    <t xml:space="preserve">Sedie per i tavoli briefing</t>
  </si>
  <si>
    <t xml:space="preserve">Sedie per i tavoli del briefing.</t>
  </si>
  <si>
    <t xml:space="preserve">amazon.it/dp/B0DMSW62F3</t>
  </si>
  <si>
    <t xml:space="preserve">€ 130 per le 6 sedie.</t>
  </si>
  <si>
    <t xml:space="preserve">C · Percorso e partenze</t>
  </si>
  <si>
    <t xml:space="preserve">Radioline per i marshal</t>
  </si>
  <si>
    <t xml:space="preserve">Radio per il collegamento fra segreteria, starter e staff sul percorso.</t>
  </si>
  <si>
    <t xml:space="preserve">Se ne occupa Fabio.</t>
  </si>
  <si>
    <t xml:space="preserve">Cassa con microfono</t>
  </si>
  <si>
    <t xml:space="preserve">Cassa amplificata con microfono per le chiamate alle partenze.</t>
  </si>
  <si>
    <t xml:space="preserve">amazon.it/dp/B0CHSD1N1Y</t>
  </si>
  <si>
    <t xml:space="preserve">Timer per le partenze</t>
  </si>
  <si>
    <t xml:space="preserve">Timer per scandire le partenze.</t>
  </si>
  <si>
    <t xml:space="preserve">amazon.it/dp/B0GWH247DF</t>
  </si>
  <si>
    <t xml:space="preserve">Bandierine doppio logo, numerate</t>
  </si>
  <si>
    <t xml:space="preserve">Bandierine di buca con doppio logo e numero.</t>
  </si>
  <si>
    <t xml:space="preserve">golfflags.eu</t>
  </si>
  <si>
    <t xml:space="preserve">fornitura</t>
  </si>
  <si>
    <t xml:space="preserve">Verificare quante bandierine comprende la fornitura.</t>
  </si>
  <si>
    <t xml:space="preserve">Pannelli presentazione buca</t>
  </si>
  <si>
    <t xml:space="preserve">Forex 5 mm personalizzato con supporto in polionda 5 mm, 125 × 45 cm, uno per buca.</t>
  </si>
  <si>
    <t xml:space="preserve">Esclusa</t>
  </si>
  <si>
    <t xml:space="preserve">Pannelli buca senza supporto</t>
  </si>
  <si>
    <t xml:space="preserve">Pannelli di buca senza supporto in polionda.</t>
  </si>
  <si>
    <t xml:space="preserve">Alternativa ai pannelli Emmetre: € 36 l'uno senza supporto.</t>
  </si>
  <si>
    <t xml:space="preserve">Partenze Donne e Junior</t>
  </si>
  <si>
    <t xml:space="preserve">Cartello di partenza con scritta, 21 × 15 cm con punta, in Bi-Bond.</t>
  </si>
  <si>
    <t xml:space="preserve">Nel preventivo il totale indicato è € 54: verificare.</t>
  </si>
  <si>
    <t xml:space="preserve">Adesivi per le partenze</t>
  </si>
  <si>
    <t xml:space="preserve">Adesivi per le nuove partenze con nuova grafica, logo e par.</t>
  </si>
  <si>
    <t xml:space="preserve">Prezzo da verificare su Pixartprinting.</t>
  </si>
  <si>
    <t xml:space="preserve">Mini vele di partenza</t>
  </si>
  <si>
    <t xml:space="preserve">Una per buca, stile Open internazionale, antivento. Formato 67 × 200 o 85 × 130 cm.</t>
  </si>
  <si>
    <t xml:space="preserve">Opzionale</t>
  </si>
  <si>
    <t xml:space="preserve">Stesso prezzo per i due formati: € 125 l'una.</t>
  </si>
  <si>
    <t xml:space="preserve">Cubi per buca 1 e buca 18</t>
  </si>
  <si>
    <t xml:space="preserve">Cubi in polionda 5 mm, 30 × 30 cm, stile Open d'Italia.</t>
  </si>
  <si>
    <t xml:space="preserve">Prezzo del preventivo precedente.</t>
  </si>
  <si>
    <t xml:space="preserve">D · Immagine e media</t>
  </si>
  <si>
    <t xml:space="preserve">Wall istituzionale per foto</t>
  </si>
  <si>
    <t xml:space="preserve">Banner con asola 210 × 160/170 cm per le foto dei giocatori.</t>
  </si>
  <si>
    <t xml:space="preserve">Telo per videoproiettore</t>
  </si>
  <si>
    <t xml:space="preserve">Telo da 120 pollici per la presentazione AIFG.</t>
  </si>
  <si>
    <t xml:space="preserve">Drone per riprese e diretta</t>
  </si>
  <si>
    <t xml:space="preserve">Riprese aeree e diretta live della tappa.</t>
  </si>
  <si>
    <t xml:space="preserve">Domenica si prova il drone di Alberto. Preventivo € 400–600: messo il massimo.</t>
  </si>
  <si>
    <t xml:space="preserve">Fotografo</t>
  </si>
  <si>
    <t xml:space="preserve">Servizio fotografico del weekend.</t>
  </si>
  <si>
    <t xml:space="preserve">giornate</t>
  </si>
  <si>
    <t xml:space="preserve">Stima</t>
  </si>
  <si>
    <t xml:space="preserve">Da trovare. Base € 80–150 a giornata: messo il massimo per 2 giornate.</t>
  </si>
  <si>
    <t xml:space="preserve">Tovaglia tavolo istituzionale</t>
  </si>
  <si>
    <t xml:space="preserve">Tovaglia per il tavolo della presentazione istituzionale.</t>
  </si>
  <si>
    <t xml:space="preserve">Da verificare.</t>
  </si>
  <si>
    <t xml:space="preserve">E · Accoglienza</t>
  </si>
  <si>
    <t xml:space="preserve">Tovaglie neutre per l'accoglienza</t>
  </si>
  <si>
    <t xml:space="preserve">Tovaglie neutre per i tavoli dell'accoglienza.</t>
  </si>
  <si>
    <t xml:space="preserve">Da verificare su Amazon.</t>
  </si>
  <si>
    <t xml:space="preserve">Badge con collarini per invitati</t>
  </si>
  <si>
    <t xml:space="preserve">Collarini con doppio moschettone, personalizzati.</t>
  </si>
  <si>
    <t xml:space="preserve">In alternativa: collarini e badge su Amazon e solo le stampe.</t>
  </si>
  <si>
    <t xml:space="preserve">Ragazze immagine</t>
  </si>
  <si>
    <t xml:space="preserve">Servizio di ragazze immagine per l'accoglienza e le premiazioni.</t>
  </si>
  <si>
    <t xml:space="preserve">Daniele Busoni</t>
  </si>
  <si>
    <t xml:space="preserve">servizio</t>
  </si>
  <si>
    <t xml:space="preserve">F · Staff e ospitalità</t>
  </si>
  <si>
    <t xml:space="preserve">Vestiario staff</t>
  </si>
  <si>
    <t xml:space="preserve">Polo, maglia e pantalone per lo staff della tappa, con i loghi.</t>
  </si>
  <si>
    <t xml:space="preserve">kit</t>
  </si>
  <si>
    <t xml:space="preserve">Quantità dalla lista taglie degli area manager.</t>
  </si>
  <si>
    <t xml:space="preserve">soggiorno</t>
  </si>
  <si>
    <t xml:space="preserve">Confermato</t>
  </si>
  <si>
    <t xml:space="preserve">Già prenotati.</t>
  </si>
  <si>
    <t xml:space="preserve">Cena</t>
  </si>
  <si>
    <t xml:space="preserve">Cena del weekend.</t>
  </si>
  <si>
    <t xml:space="preserve">coperti</t>
  </si>
  <si>
    <t xml:space="preserve">Preventivo da definire domenica con il Direttore.</t>
  </si>
  <si>
    <t xml:space="preserve">TOTALE BASE (voci «Nel totale» = Sì)</t>
  </si>
  <si>
    <t xml:space="preserve">Note</t>
  </si>
  <si>
    <t xml:space="preserve">• Alternative fuori dal totale: pieghevole A3 al posto della brochure, pannelli Pixartprinting al posto di quelli Emmetre. Per scambiarle invertire «Nel totale» sulle due righe.</t>
  </si>
  <si>
    <t xml:space="preserve">• Opzionali fuori dal totale base: mini vele, cubi per buca 1 e 18, drone (stimato al massimo di € 400–600). Fotografo: € 150 a giornata per 2 giornate, il massimo di € 80–150.</t>
  </si>
  <si>
    <t xml:space="preserve">• Le voci «Da definire» non sono ancora conteggiate. IVA «Esclusa» solo dove il preventivo lo dice: altrimenti da verificare.</t>
  </si>
  <si>
    <t xml:space="preserve">• Foto: in Excel 365 selezionare la cella gialla → Inserisci → Immagini → Inserisci nella cella. Le righe libere in fondo sono pronte per nuove voci.</t>
  </si>
  <si>
    <t xml:space="preserve">RIEPILOGO PER AREA</t>
  </si>
  <si>
    <t xml:space="preserve">Tappa Zero · 14–15 Novembre 2026</t>
  </si>
  <si>
    <t xml:space="preserve">N. VOCI</t>
  </si>
  <si>
    <t xml:space="preserve">% BASE</t>
  </si>
  <si>
    <t xml:space="preserve">A</t>
  </si>
  <si>
    <t xml:space="preserve">Materiale marketing</t>
  </si>
  <si>
    <t xml:space="preserve">B</t>
  </si>
  <si>
    <t xml:space="preserve">Punto ristoro e briefing</t>
  </si>
  <si>
    <t xml:space="preserve">C</t>
  </si>
  <si>
    <t xml:space="preserve">Percorso e partenze</t>
  </si>
  <si>
    <t xml:space="preserve">D</t>
  </si>
  <si>
    <t xml:space="preserve">Immagine e media</t>
  </si>
  <si>
    <t xml:space="preserve">E</t>
  </si>
  <si>
    <t xml:space="preserve">Accoglienza</t>
  </si>
  <si>
    <t xml:space="preserve">F</t>
  </si>
  <si>
    <t xml:space="preserve">Staff e ospitalità</t>
  </si>
  <si>
    <t xml:space="preserve">AIFG | COMMUNITY UFFICIALE 2027</t>
  </si>
  <si>
    <t xml:space="preserve">Struttura dei canali della community ufficiale</t>
  </si>
  <si>
    <t xml:space="preserve">CANALE</t>
  </si>
  <si>
    <t xml:space="preserve">SEZIONE</t>
  </si>
  <si>
    <t xml:space="preserve">REFERENTE / NOTE</t>
  </si>
  <si>
    <t xml:space="preserve">📢  Comunicazioni ufficiali</t>
  </si>
  <si>
    <t xml:space="preserve">🏛️  Direzione</t>
  </si>
  <si>
    <t xml:space="preserve">🗺️  Area manager</t>
  </si>
  <si>
    <t xml:space="preserve">├─ Centro Sud</t>
  </si>
  <si>
    <t xml:space="preserve">├─ Centro</t>
  </si>
  <si>
    <t xml:space="preserve">├─ Nord</t>
  </si>
  <si>
    <t xml:space="preserve">└─ Nord Est</t>
  </si>
  <si>
    <t xml:space="preserve">🏆  Campionati</t>
  </si>
  <si>
    <t xml:space="preserve">├─ Serie A</t>
  </si>
  <si>
    <t xml:space="preserve">├─ Serie A1</t>
  </si>
  <si>
    <t xml:space="preserve">└─ Serie A2</t>
  </si>
  <si>
    <t xml:space="preserve">🧠  Comitato tecnico</t>
  </si>
  <si>
    <t xml:space="preserve">🇮🇹  Nazionale</t>
  </si>
  <si>
    <t xml:space="preserve">├─ Men</t>
  </si>
  <si>
    <t xml:space="preserve">├─ Women</t>
  </si>
  <si>
    <t xml:space="preserve">├─ Senior</t>
  </si>
  <si>
    <t xml:space="preserve">├─ Senior Plus</t>
  </si>
  <si>
    <t xml:space="preserve">└─ Junior</t>
  </si>
  <si>
    <t xml:space="preserve">🏌️  Organizzatori</t>
  </si>
  <si>
    <t xml:space="preserve">💻  Staff &amp; operativo</t>
  </si>
  <si>
    <t xml:space="preserve">📝  Iscrizioni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</si>
</sst>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dd/mm/yyyy"/>
    <numFmt numFmtId="167" formatCode="&quot;€ &quot;#,##0.00;&quot;-€ &quot;#,##0.00;\–"/>
    <numFmt numFmtId="168" formatCode="#,##0"/>
    <numFmt numFmtId="169" formatCode="&quot;€ &quot;#,##0.00##;&quot;-€ &quot;#,##0.00##;\–"/>
    <numFmt numFmtId="170" formatCode="General"/>
    <numFmt numFmtId="171" formatCode="0.0%"/>
    <numFmt numFmtId="172" formatCode="0%"/>
    <numFmt numFmtId="173" formatCode="&quot;€ &quot;#,##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4FB3F0"/>
      <name val="Arial"/>
      <family val="0"/>
      <charset val="1"/>
    </font>
    <font>
      <sz val="8.5"/>
      <color rgb="FF9DA39D"/>
      <name val="Arial"/>
      <family val="0"/>
      <charset val="1"/>
    </font>
    <font>
      <b val="true"/>
      <sz val="8"/>
      <color rgb="FF6B706B"/>
      <name val="Arial"/>
      <family val="0"/>
      <charset val="1"/>
    </font>
    <font>
      <b val="true"/>
      <sz val="20"/>
      <color rgb="FF0072CE"/>
      <name val="Arial"/>
      <family val="0"/>
      <charset val="1"/>
    </font>
    <font>
      <b val="true"/>
      <sz val="20"/>
      <color rgb="FFCD212A"/>
      <name val="Arial"/>
      <family val="0"/>
      <charset val="1"/>
    </font>
    <font>
      <b val="true"/>
      <sz val="20"/>
      <color rgb="FF0A5FA0"/>
      <name val="Arial"/>
      <family val="0"/>
      <charset val="1"/>
    </font>
    <font>
      <b val="true"/>
      <sz val="20"/>
      <color rgb="FF6B706B"/>
      <name val="Arial"/>
      <family val="0"/>
      <charset val="1"/>
    </font>
    <font>
      <b val="true"/>
      <sz val="20"/>
      <color rgb="FF1F6B40"/>
      <name val="Arial"/>
      <family val="0"/>
      <charset val="1"/>
    </font>
    <font>
      <i val="true"/>
      <sz val="9"/>
      <color rgb="FF6B706B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1"/>
      <color rgb="FF0072CE"/>
      <name val="Arial"/>
      <family val="0"/>
      <charset val="1"/>
    </font>
    <font>
      <sz val="9"/>
      <color rgb="FF6B706B"/>
      <name val="Arial"/>
      <family val="0"/>
      <charset val="1"/>
    </font>
    <font>
      <b val="true"/>
      <sz val="10.5"/>
      <color rgb="FF0A0C0A"/>
      <name val="Arial"/>
      <family val="0"/>
      <charset val="1"/>
    </font>
    <font>
      <sz val="9.5"/>
      <color rgb="FF3A403A"/>
      <name val="Arial"/>
      <family val="0"/>
      <charset val="1"/>
    </font>
    <font>
      <b val="true"/>
      <sz val="11"/>
      <color rgb="FF0A0C0A"/>
      <name val="Arial"/>
      <family val="0"/>
      <charset val="1"/>
    </font>
    <font>
      <sz val="9.5"/>
      <color rgb="FF0A0C0A"/>
      <name val="Arial"/>
      <family val="0"/>
      <charset val="1"/>
    </font>
    <font>
      <b val="true"/>
      <sz val="10"/>
      <color rgb="FFA6362F"/>
      <name val="Arial"/>
      <family val="0"/>
      <charset val="1"/>
    </font>
    <font>
      <b val="true"/>
      <sz val="9.5"/>
      <color rgb="FF0A0C0A"/>
      <name val="Arial"/>
      <family val="0"/>
      <charset val="1"/>
    </font>
    <font>
      <sz val="9"/>
      <color rgb="FF3A403A"/>
      <name val="Arial"/>
      <family val="0"/>
      <charset val="1"/>
    </font>
    <font>
      <b val="true"/>
      <sz val="20"/>
      <color rgb="FF0A0C0A"/>
      <name val="Arial"/>
      <family val="0"/>
      <charset val="1"/>
    </font>
    <font>
      <b val="true"/>
      <sz val="20"/>
      <color rgb="FFB7791F"/>
      <name val="Arial"/>
      <family val="0"/>
      <charset val="1"/>
    </font>
    <font>
      <sz val="10"/>
      <color rgb="FF0A0C0A"/>
      <name val="Arial"/>
      <family val="0"/>
      <charset val="1"/>
    </font>
    <font>
      <u val="single"/>
      <sz val="9"/>
      <color rgb="FF0072CE"/>
      <name val="Arial"/>
      <family val="0"/>
      <charset val="1"/>
    </font>
    <font>
      <i val="true"/>
      <sz val="8"/>
      <color rgb="FFB9BEB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4FB3F0"/>
      <name val="Arial"/>
      <family val="0"/>
      <charset val="1"/>
    </font>
    <font>
      <b val="true"/>
      <sz val="9"/>
      <color rgb="FF0A0C0A"/>
      <name val="Arial"/>
      <family val="0"/>
      <charset val="1"/>
    </font>
    <font>
      <sz val="10"/>
      <name val="Arial"/>
      <family val="2"/>
    </font>
    <font>
      <b val="true"/>
      <sz val="16"/>
      <color rgb="FFFFFFFF"/>
      <name val="Arial"/>
      <family val="0"/>
      <charset val="1"/>
    </font>
    <font>
      <sz val="10"/>
      <color rgb="FF4FB3F0"/>
      <name val="Arial"/>
      <family val="0"/>
      <charset val="1"/>
    </font>
    <font>
      <b val="true"/>
      <sz val="12"/>
      <color rgb="FF0072CE"/>
      <name val="Arial"/>
      <family val="0"/>
      <charset val="1"/>
    </font>
    <font>
      <sz val="10.5"/>
      <color rgb="FF0A0C0A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4FB3F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sz val="10"/>
      <color rgb="FF3A403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C0A"/>
        <bgColor rgb="FF000000"/>
      </patternFill>
    </fill>
    <fill>
      <patternFill patternType="solid">
        <fgColor rgb="FFF4F6F4"/>
        <bgColor rgb="FFF8FAF8"/>
      </patternFill>
    </fill>
    <fill>
      <patternFill patternType="solid">
        <fgColor rgb="FF0072CE"/>
        <bgColor rgb="FF0A5FA0"/>
      </patternFill>
    </fill>
    <fill>
      <patternFill patternType="solid">
        <fgColor rgb="FFFFFFFF"/>
        <bgColor rgb="FFF8FAF8"/>
      </patternFill>
    </fill>
    <fill>
      <patternFill patternType="solid">
        <fgColor rgb="FFFFF8E1"/>
        <bgColor rgb="FFFFF4D6"/>
      </patternFill>
    </fill>
    <fill>
      <patternFill patternType="solid">
        <fgColor rgb="FFF8FAF8"/>
        <bgColor rgb="FFF4F6F4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72CE"/>
      </bottom>
      <diagonal/>
    </border>
    <border diagonalUp="false" diagonalDown="false">
      <left/>
      <right/>
      <top/>
      <bottom style="medium">
        <color rgb="FFCD212A"/>
      </bottom>
      <diagonal/>
    </border>
    <border diagonalUp="false" diagonalDown="false">
      <left/>
      <right/>
      <top/>
      <bottom style="medium">
        <color rgb="FF0A5FA0"/>
      </bottom>
      <diagonal/>
    </border>
    <border diagonalUp="false" diagonalDown="false">
      <left/>
      <right/>
      <top/>
      <bottom style="medium">
        <color rgb="FF6B706B"/>
      </bottom>
      <diagonal/>
    </border>
    <border diagonalUp="false" diagonalDown="false">
      <left/>
      <right/>
      <top/>
      <bottom style="medium">
        <color rgb="FF1F6B40"/>
      </bottom>
      <diagonal/>
    </border>
    <border diagonalUp="false" diagonalDown="false">
      <left/>
      <right/>
      <top/>
      <bottom style="medium">
        <color rgb="FF0A0C0A"/>
      </bottom>
      <diagonal/>
    </border>
    <border diagonalUp="false" diagonalDown="false">
      <left style="thin">
        <color rgb="FFD5DAD5"/>
      </left>
      <right style="thin">
        <color rgb="FFD5DAD5"/>
      </right>
      <top style="thin">
        <color rgb="FFD5DAD5"/>
      </top>
      <bottom style="thin">
        <color rgb="FFD5DAD5"/>
      </bottom>
      <diagonal/>
    </border>
    <border diagonalUp="false" diagonalDown="false">
      <left/>
      <right/>
      <top/>
      <bottom style="medium">
        <color rgb="FFB7791F"/>
      </bottom>
      <diagonal/>
    </border>
    <border diagonalUp="false" diagonalDown="false">
      <left/>
      <right/>
      <top/>
      <bottom style="thin">
        <color rgb="FFD5DAD5"/>
      </bottom>
      <diagonal/>
    </border>
    <border diagonalUp="false" diagonalDown="false">
      <left/>
      <right/>
      <top style="thin">
        <color rgb="FFD5DAD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1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6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0">
    <dxf>
      <fill>
        <patternFill patternType="solid">
          <fgColor rgb="FF0072CE"/>
          <bgColor rgb="FF000000"/>
        </patternFill>
      </fill>
    </dxf>
    <dxf>
      <fill>
        <patternFill patternType="solid">
          <fgColor rgb="FFF8FA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06B"/>
          <bgColor rgb="FF000000"/>
        </patternFill>
      </fill>
    </dxf>
    <dxf>
      <fill>
        <patternFill patternType="solid">
          <fgColor rgb="FF0A0C0A"/>
          <bgColor rgb="FF000000"/>
        </patternFill>
      </fill>
    </dxf>
    <dxf>
      <fill>
        <patternFill patternType="solid">
          <fgColor rgb="FF9DA39D"/>
          <bgColor rgb="FF000000"/>
        </patternFill>
      </fill>
    </dxf>
    <dxf>
      <fill>
        <patternFill patternType="solid">
          <fgColor rgb="FF3A403A"/>
          <bgColor rgb="FF000000"/>
        </patternFill>
      </fill>
    </dxf>
    <dxf>
      <fill>
        <patternFill patternType="solid">
          <fgColor rgb="FFCD212A"/>
          <bgColor rgb="FF000000"/>
        </patternFill>
      </fill>
    </dxf>
    <dxf>
      <fill>
        <patternFill patternType="solid">
          <fgColor rgb="FFDADDDA"/>
          <bgColor rgb="FF000000"/>
        </patternFill>
      </fill>
    </dxf>
    <dxf>
      <fill>
        <patternFill patternType="solid">
          <fgColor rgb="FFE8C25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A6362F"/>
          <bgColor rgb="FF000000"/>
        </patternFill>
      </fill>
    </dxf>
    <dxf>
      <fill>
        <patternFill patternType="solid">
          <fgColor rgb="FFE3F0FB"/>
          <bgColor rgb="FF000000"/>
        </patternFill>
      </fill>
    </dxf>
    <dxf>
      <fill>
        <patternFill patternType="solid">
          <fgColor rgb="FFE4F2E9"/>
          <bgColor rgb="FF000000"/>
        </patternFill>
      </fill>
    </dxf>
    <dxf>
      <fill>
        <patternFill patternType="solid">
          <fgColor rgb="FFEAF3FC"/>
          <bgColor rgb="FF000000"/>
        </patternFill>
      </fill>
    </dxf>
    <dxf>
      <fill>
        <patternFill patternType="solid">
          <fgColor rgb="FFEDEAF7"/>
          <bgColor rgb="FF000000"/>
        </patternFill>
      </fill>
    </dxf>
    <dxf>
      <fill>
        <patternFill patternType="solid">
          <fgColor rgb="FFEEF1EE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A5FA0"/>
          <bgColor rgb="FF000000"/>
        </patternFill>
      </fill>
    </dxf>
    <dxf>
      <fill>
        <patternFill patternType="solid">
          <fgColor rgb="FF1F6B40"/>
          <bgColor rgb="FF000000"/>
        </patternFill>
      </fill>
    </dxf>
    <dxf>
      <fill>
        <patternFill patternType="solid">
          <fgColor rgb="FF4F3F9A"/>
          <bgColor rgb="FF000000"/>
        </patternFill>
      </fill>
    </dxf>
    <dxf>
      <fill>
        <patternFill patternType="solid">
          <fgColor rgb="FF5A605A"/>
          <bgColor rgb="FF000000"/>
        </patternFill>
      </fill>
    </dxf>
    <dxf>
      <fill>
        <patternFill patternType="solid">
          <fgColor rgb="FF8A6512"/>
          <bgColor rgb="FF000000"/>
        </patternFill>
      </fill>
    </dxf>
    <dxf>
      <font>
        <name val="Arial"/>
        <charset val="1"/>
        <family val="0"/>
        <b val="1"/>
        <color rgb="FF5A605A"/>
      </font>
      <fill>
        <patternFill>
          <bgColor rgb="FFEEF1EE"/>
        </patternFill>
      </fill>
    </dxf>
    <dxf>
      <font>
        <name val="Arial"/>
        <charset val="1"/>
        <family val="0"/>
        <b val="1"/>
        <color rgb="FF0A5FA0"/>
      </font>
      <fill>
        <patternFill>
          <bgColor rgb="FFE3F0FB"/>
        </patternFill>
      </fill>
    </dxf>
    <dxf>
      <font>
        <name val="Arial"/>
        <charset val="1"/>
        <family val="0"/>
        <b val="1"/>
        <color rgb="FF8A6512"/>
      </font>
      <fill>
        <patternFill>
          <bgColor rgb="FFFFF4D6"/>
        </patternFill>
      </fill>
    </dxf>
    <dxf>
      <font>
        <name val="Arial"/>
        <charset val="1"/>
        <family val="0"/>
        <b val="1"/>
        <color rgb="FF4F3F9A"/>
      </font>
      <fill>
        <patternFill>
          <bgColor rgb="FFEDEAF7"/>
        </patternFill>
      </fill>
    </dxf>
    <dxf>
      <font>
        <name val="Arial"/>
        <charset val="1"/>
        <family val="0"/>
        <b val="1"/>
        <color rgb="FF0A5FA0"/>
      </font>
      <fill>
        <patternFill>
          <bgColor rgb="FFEAF3FC"/>
        </patternFill>
      </fill>
    </dxf>
    <dxf>
      <font>
        <name val="Arial"/>
        <charset val="1"/>
        <family val="0"/>
        <b val="1"/>
        <color rgb="FF1F6B40"/>
      </font>
      <fill>
        <patternFill>
          <bgColor rgb="FFE4F2E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D212A"/>
        </patternFill>
      </fill>
    </dxf>
    <dxf>
      <font>
        <name val="Arial"/>
        <charset val="1"/>
        <family val="0"/>
        <b val="1"/>
        <color rgb="FF0A0C0A"/>
      </font>
      <fill>
        <patternFill>
          <bgColor rgb="FFE8C25A"/>
        </patternFill>
      </fill>
    </dxf>
    <dxf>
      <font>
        <name val="Arial"/>
        <charset val="1"/>
        <family val="0"/>
        <b val="1"/>
        <color rgb="FF3A403A"/>
      </font>
      <fill>
        <patternFill>
          <bgColor rgb="FFDADDDA"/>
        </patternFill>
      </fill>
    </dxf>
    <dxf>
      <font>
        <name val="Arial"/>
        <charset val="1"/>
        <family val="0"/>
        <b val="1"/>
        <strike val="1"/>
        <color rgb="FF9DA39D"/>
      </font>
    </dxf>
    <dxf>
      <fill>
        <patternFill patternType="solid">
          <fgColor rgb="FFFDE7E4"/>
          <bgColor rgb="FF000000"/>
        </patternFill>
      </fill>
    </dxf>
    <dxf>
      <fill>
        <patternFill patternType="solid">
          <fgColor rgb="FFB9BEB9"/>
          <bgColor rgb="FF000000"/>
        </patternFill>
      </fill>
    </dxf>
    <dxf>
      <font>
        <name val="Arial"/>
        <charset val="1"/>
        <family val="0"/>
        <b val="1"/>
        <color rgb="FFA6362F"/>
      </font>
      <fill>
        <patternFill>
          <bgColor rgb="FFFDE7E4"/>
        </patternFill>
      </fill>
    </dxf>
    <dxf>
      <font>
        <name val="Arial"/>
        <charset val="1"/>
        <family val="0"/>
        <color rgb="FF0A5FA0"/>
      </font>
      <fill>
        <patternFill>
          <bgColor rgb="FFE3F0FB"/>
        </patternFill>
      </fill>
    </dxf>
    <dxf>
      <font>
        <name val="Arial"/>
        <charset val="1"/>
        <family val="0"/>
        <color rgb="FF2C6B4C"/>
      </font>
      <fill>
        <patternFill>
          <bgColor rgb="FFE4F2E9"/>
        </patternFill>
      </fill>
    </dxf>
    <dxf>
      <font>
        <name val="Arial"/>
        <charset val="1"/>
        <family val="0"/>
        <color rgb="FF1F5A3B"/>
      </font>
      <fill>
        <patternFill>
          <bgColor rgb="FFD6EDDD"/>
        </patternFill>
      </fill>
    </dxf>
    <dxf>
      <font>
        <name val="Arial"/>
        <charset val="1"/>
        <family val="0"/>
        <i val="1"/>
        <color rgb="FF9DA39D"/>
      </font>
    </dxf>
  </dxfs>
  <colors>
    <indexedColors>
      <rgbColor rgb="FF000000"/>
      <rgbColor rgb="FFFFFFFF"/>
      <rgbColor rgb="FFFF0000"/>
      <rgbColor rgb="FF00FF00"/>
      <rgbColor rgb="FF0000FF"/>
      <rgbColor rgb="FFEEF1EE"/>
      <rgbColor rgb="FFFF00FF"/>
      <rgbColor rgb="FF00FFFF"/>
      <rgbColor rgb="FF800000"/>
      <rgbColor rgb="FF1F6B40"/>
      <rgbColor rgb="FF000080"/>
      <rgbColor rgb="FF8A6512"/>
      <rgbColor rgb="FF800080"/>
      <rgbColor rgb="FF0A5FA0"/>
      <rgbColor rgb="FFB9BEB9"/>
      <rgbColor rgb="FF878787"/>
      <rgbColor rgb="FFEDEAF7"/>
      <rgbColor rgb="FFCD212A"/>
      <rgbColor rgb="FFFFF8E1"/>
      <rgbColor rgb="FFE3F0FB"/>
      <rgbColor rgb="FF660066"/>
      <rgbColor rgb="FFF8FAF8"/>
      <rgbColor rgb="FF0072CE"/>
      <rgbColor rgb="FFD9D9D9"/>
      <rgbColor rgb="FF000080"/>
      <rgbColor rgb="FFFF00FF"/>
      <rgbColor rgb="FFF4F6F4"/>
      <rgbColor rgb="FF00FFFF"/>
      <rgbColor rgb="FF800080"/>
      <rgbColor rgb="FF800000"/>
      <rgbColor rgb="FF2C6B4C"/>
      <rgbColor rgb="FF0000FF"/>
      <rgbColor rgb="FF00CCFF"/>
      <rgbColor rgb="FFE4F2E9"/>
      <rgbColor rgb="FFD6EDDD"/>
      <rgbColor rgb="FFFFF4D6"/>
      <rgbColor rgb="FFD5DAD5"/>
      <rgbColor rgb="FFFDE7E4"/>
      <rgbColor rgb="FFDADDDA"/>
      <rgbColor rgb="FFE8C25A"/>
      <rgbColor rgb="FF3366FF"/>
      <rgbColor rgb="FF4FB3F0"/>
      <rgbColor rgb="FF99CC00"/>
      <rgbColor rgb="FFEAF3FC"/>
      <rgbColor rgb="FFFF9900"/>
      <rgbColor rgb="FFB7791F"/>
      <rgbColor rgb="FF6B706B"/>
      <rgbColor rgb="FF9DA39D"/>
      <rgbColor rgb="FF1F5A3B"/>
      <rgbColor rgb="FF5A605A"/>
      <rgbColor rgb="FF0A0C0A"/>
      <rgbColor rgb="FF333300"/>
      <rgbColor rgb="FFA6362F"/>
      <rgbColor rgb="FF993366"/>
      <rgbColor rgb="FF4F3F9A"/>
      <rgbColor rgb="FF3A4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Totale base per area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'Riepilogo per area'!D4</c:f>
              <c:strCache>
                <c:ptCount val="1"/>
                <c:pt idx="0">
                  <c:v>TOTALE BASE</c:v>
                </c:pt>
              </c:strCache>
            </c:strRef>
          </c:tx>
          <c:spPr>
            <a:solidFill>
              <a:srgbClr val="0072ce"/>
            </a:solidFill>
            <a:ln w="9360">
              <a:solidFill>
                <a:srgbClr val="0072c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'Riepilogo per area'!$B$5:$B$10</c:f>
              <c:strCache>
                <c:ptCount val="6"/>
                <c:pt idx="0">
                  <c:v>Materiale marketing</c:v>
                </c:pt>
                <c:pt idx="1">
                  <c:v>Punto ristoro e briefing</c:v>
                </c:pt>
                <c:pt idx="2">
                  <c:v>Percorso e partenze</c:v>
                </c:pt>
                <c:pt idx="3">
                  <c:v>Immagine e media</c:v>
                </c:pt>
                <c:pt idx="4">
                  <c:v>Accoglienza</c:v>
                </c:pt>
                <c:pt idx="5">
                  <c:v>Staff e ospitalità</c:v>
                </c:pt>
              </c:strCache>
            </c:strRef>
          </c:cat>
          <c:val>
            <c:numRef>
              <c:f>'Riepilogo per area'!$D$5:$D$10</c:f>
              <c:numCache>
                <c:formatCode>"€ "#,##0.00;"-€ "#,##0.00;\–</c:formatCode>
                <c:ptCount val="6"/>
                <c:pt idx="0">
                  <c:v>470</c:v>
                </c:pt>
                <c:pt idx="1">
                  <c:v>349.4</c:v>
                </c:pt>
                <c:pt idx="2">
                  <c:v>1534</c:v>
                </c:pt>
                <c:pt idx="3">
                  <c:v>465</c:v>
                </c:pt>
                <c:pt idx="4">
                  <c:v>670</c:v>
                </c:pt>
                <c:pt idx="5">
                  <c:v>1100</c:v>
                </c:pt>
              </c:numCache>
            </c:numRef>
          </c:val>
        </c:ser>
        <c:gapWidth val="150"/>
        <c:overlap val="0"/>
        <c:axId val="85229886"/>
        <c:axId val="24490517"/>
      </c:barChart>
      <c:catAx>
        <c:axId val="8522988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90517"/>
        <c:crosses val="autoZero"/>
        <c:auto val="1"/>
        <c:lblAlgn val="ctr"/>
        <c:lblOffset val="100"/>
        <c:noMultiLvlLbl val="0"/>
      </c:catAx>
      <c:valAx>
        <c:axId val="24490517"/>
        <c:scaling>
          <c:orientation val="minMax"/>
        </c:scaling>
        <c:delete val="0"/>
        <c:axPos val="l"/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29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256680</xdr:colOff>
      <xdr:row>1</xdr:row>
      <xdr:rowOff>218880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60912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256680</xdr:colOff>
      <xdr:row>1</xdr:row>
      <xdr:rowOff>218880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60912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5</xdr:col>
      <xdr:colOff>1122840</xdr:colOff>
      <xdr:row>27</xdr:row>
      <xdr:rowOff>32760</xdr:rowOff>
    </xdr:to>
    <xdr:graphicFrame>
      <xdr:nvGraphicFramePr>
        <xdr:cNvPr id="2" name="Chart 1"/>
        <xdr:cNvGraphicFramePr/>
      </xdr:nvGraphicFramePr>
      <xdr:xfrm>
        <a:off x="423000" y="35719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amazon.it/dp/B07CZBPPCB" TargetMode="External"/><Relationship Id="rId3" Type="http://schemas.openxmlformats.org/officeDocument/2006/relationships/hyperlink" Target="https://www.amazon.it/dp/B0DMSW62F3" TargetMode="External"/><Relationship Id="rId4" Type="http://schemas.openxmlformats.org/officeDocument/2006/relationships/hyperlink" Target="https://www.amazon.it/dp/B0CHSD1N1Y" TargetMode="External"/><Relationship Id="rId5" Type="http://schemas.openxmlformats.org/officeDocument/2006/relationships/hyperlink" Target="https://www.amazon.it/dp/B0GWH247DF" TargetMode="External"/><Relationship Id="rId6" Type="http://schemas.openxmlformats.org/officeDocument/2006/relationships/hyperlink" Target="https://golfflags.eu/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D212A"/>
    <pageSetUpPr fitToPage="tru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1"/>
      <c r="B2" s="1"/>
      <c r="C2" s="3" t="s">
        <v>1</v>
      </c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A3" s="1"/>
      <c r="B3" s="1"/>
      <c r="C3" s="4" t="s">
        <v>2</v>
      </c>
      <c r="D3" s="1"/>
      <c r="E3" s="1"/>
      <c r="F3" s="1"/>
      <c r="G3" s="1"/>
      <c r="H3" s="1"/>
      <c r="I3" s="1"/>
      <c r="J3" s="1"/>
    </row>
    <row r="5" customFormat="false" ht="18" hidden="false" customHeight="true" outlineLevel="0" collapsed="false">
      <c r="B5" s="5" t="s">
        <v>3</v>
      </c>
      <c r="C5" s="5" t="s">
        <v>4</v>
      </c>
      <c r="D5" s="5" t="s">
        <v>5</v>
      </c>
      <c r="E5" s="6" t="s">
        <v>6</v>
      </c>
      <c r="F5" s="6"/>
      <c r="G5" s="5" t="s">
        <v>7</v>
      </c>
    </row>
    <row r="6" customFormat="false" ht="33.75" hidden="false" customHeight="true" outlineLevel="0" collapsed="false">
      <c r="B6" s="7" t="n">
        <f aca="false">COUNTA($C$11:$C$35)</f>
        <v>20</v>
      </c>
      <c r="C6" s="8" t="n">
        <f aca="false">COUNTIFS($E$11:$E$35,1)</f>
        <v>5</v>
      </c>
      <c r="D6" s="9" t="n">
        <f aca="false">COUNTIFS($I$11:$I$35,"In corso")+COUNTIFS($I$11:$I$35,"In revisione")</f>
        <v>3</v>
      </c>
      <c r="E6" s="10" t="n">
        <f aca="false">COUNTIFS($I$11:$I$35,"Da fare")</f>
        <v>12</v>
      </c>
      <c r="F6" s="10"/>
      <c r="G6" s="11" t="n">
        <f aca="false">COUNTIFS($I$11:$I$35,"Fatto")</f>
        <v>1</v>
      </c>
    </row>
    <row r="8" customFormat="false" ht="15" hidden="false" customHeight="false" outlineLevel="0" collapsed="false">
      <c r="B8" s="12" t="s">
        <v>8</v>
      </c>
      <c r="C8" s="13" t="s">
        <v>9</v>
      </c>
    </row>
    <row r="10" customFormat="false" ht="25.5" hidden="false" customHeight="true" outlineLevel="0" collapsed="false">
      <c r="A10" s="14" t="s">
        <v>10</v>
      </c>
      <c r="B10" s="15" t="s">
        <v>11</v>
      </c>
      <c r="C10" s="15" t="s">
        <v>3</v>
      </c>
      <c r="D10" s="15" t="s">
        <v>12</v>
      </c>
      <c r="E10" s="14" t="s">
        <v>13</v>
      </c>
      <c r="F10" s="15" t="s">
        <v>14</v>
      </c>
      <c r="G10" s="15" t="s">
        <v>15</v>
      </c>
      <c r="H10" s="14" t="s">
        <v>16</v>
      </c>
      <c r="I10" s="14" t="s">
        <v>17</v>
      </c>
      <c r="J10" s="15" t="s">
        <v>18</v>
      </c>
    </row>
    <row r="11" customFormat="false" ht="43.5" hidden="false" customHeight="true" outlineLevel="0" collapsed="false">
      <c r="A11" s="16" t="n">
        <v>1</v>
      </c>
      <c r="B11" s="17" t="s">
        <v>19</v>
      </c>
      <c r="C11" s="18" t="s">
        <v>20</v>
      </c>
      <c r="D11" s="19" t="s">
        <v>21</v>
      </c>
      <c r="E11" s="20"/>
      <c r="F11" s="21"/>
      <c r="G11" s="21"/>
      <c r="H11" s="22"/>
      <c r="I11" s="23" t="s">
        <v>22</v>
      </c>
      <c r="J11" s="24"/>
    </row>
    <row r="12" customFormat="false" ht="43.5" hidden="false" customHeight="true" outlineLevel="0" collapsed="false">
      <c r="A12" s="25" t="n">
        <v>2</v>
      </c>
      <c r="B12" s="26" t="s">
        <v>19</v>
      </c>
      <c r="C12" s="27" t="s">
        <v>23</v>
      </c>
      <c r="D12" s="28" t="s">
        <v>24</v>
      </c>
      <c r="E12" s="20" t="n">
        <v>1</v>
      </c>
      <c r="F12" s="21"/>
      <c r="G12" s="21"/>
      <c r="H12" s="22" t="n">
        <v>46325</v>
      </c>
      <c r="I12" s="29" t="s">
        <v>25</v>
      </c>
      <c r="J12" s="30" t="s">
        <v>26</v>
      </c>
    </row>
    <row r="13" customFormat="false" ht="43.5" hidden="false" customHeight="true" outlineLevel="0" collapsed="false">
      <c r="A13" s="16" t="n">
        <v>3</v>
      </c>
      <c r="B13" s="17" t="s">
        <v>19</v>
      </c>
      <c r="C13" s="18" t="s">
        <v>27</v>
      </c>
      <c r="D13" s="19" t="s">
        <v>28</v>
      </c>
      <c r="E13" s="20"/>
      <c r="F13" s="21"/>
      <c r="G13" s="21"/>
      <c r="H13" s="22"/>
      <c r="I13" s="23" t="s">
        <v>29</v>
      </c>
      <c r="J13" s="24"/>
    </row>
    <row r="14" customFormat="false" ht="43.5" hidden="false" customHeight="true" outlineLevel="0" collapsed="false">
      <c r="A14" s="25" t="n">
        <v>4</v>
      </c>
      <c r="B14" s="26" t="s">
        <v>19</v>
      </c>
      <c r="C14" s="27" t="s">
        <v>30</v>
      </c>
      <c r="D14" s="28" t="s">
        <v>31</v>
      </c>
      <c r="E14" s="20"/>
      <c r="F14" s="21"/>
      <c r="G14" s="21"/>
      <c r="H14" s="22"/>
      <c r="I14" s="29" t="s">
        <v>32</v>
      </c>
      <c r="J14" s="30" t="s">
        <v>33</v>
      </c>
    </row>
    <row r="15" customFormat="false" ht="43.5" hidden="false" customHeight="true" outlineLevel="0" collapsed="false">
      <c r="A15" s="16" t="n">
        <v>5</v>
      </c>
      <c r="B15" s="17" t="s">
        <v>19</v>
      </c>
      <c r="C15" s="18" t="s">
        <v>34</v>
      </c>
      <c r="D15" s="19" t="s">
        <v>35</v>
      </c>
      <c r="E15" s="20"/>
      <c r="F15" s="21"/>
      <c r="G15" s="21"/>
      <c r="H15" s="22"/>
      <c r="I15" s="23" t="s">
        <v>36</v>
      </c>
      <c r="J15" s="24"/>
    </row>
    <row r="16" customFormat="false" ht="43.5" hidden="false" customHeight="true" outlineLevel="0" collapsed="false">
      <c r="A16" s="25" t="n">
        <v>6</v>
      </c>
      <c r="B16" s="26" t="s">
        <v>19</v>
      </c>
      <c r="C16" s="27" t="s">
        <v>37</v>
      </c>
      <c r="D16" s="28" t="s">
        <v>38</v>
      </c>
      <c r="E16" s="20"/>
      <c r="F16" s="21"/>
      <c r="G16" s="21"/>
      <c r="H16" s="22"/>
      <c r="I16" s="29" t="s">
        <v>29</v>
      </c>
      <c r="J16" s="30" t="s">
        <v>39</v>
      </c>
    </row>
    <row r="17" customFormat="false" ht="43.5" hidden="false" customHeight="true" outlineLevel="0" collapsed="false">
      <c r="A17" s="16" t="n">
        <v>7</v>
      </c>
      <c r="B17" s="17" t="s">
        <v>19</v>
      </c>
      <c r="C17" s="18" t="s">
        <v>40</v>
      </c>
      <c r="D17" s="19" t="s">
        <v>41</v>
      </c>
      <c r="E17" s="20"/>
      <c r="F17" s="21"/>
      <c r="G17" s="21"/>
      <c r="H17" s="22"/>
      <c r="I17" s="23" t="s">
        <v>32</v>
      </c>
      <c r="J17" s="24" t="s">
        <v>33</v>
      </c>
    </row>
    <row r="18" customFormat="false" ht="43.5" hidden="false" customHeight="true" outlineLevel="0" collapsed="false">
      <c r="A18" s="25" t="n">
        <v>8</v>
      </c>
      <c r="B18" s="26" t="s">
        <v>42</v>
      </c>
      <c r="C18" s="27" t="s">
        <v>43</v>
      </c>
      <c r="D18" s="28" t="s">
        <v>44</v>
      </c>
      <c r="E18" s="20" t="n">
        <v>1</v>
      </c>
      <c r="F18" s="21" t="s">
        <v>45</v>
      </c>
      <c r="G18" s="21" t="s">
        <v>46</v>
      </c>
      <c r="H18" s="22"/>
      <c r="I18" s="29" t="s">
        <v>29</v>
      </c>
      <c r="J18" s="30"/>
    </row>
    <row r="19" customFormat="false" ht="43.5" hidden="false" customHeight="true" outlineLevel="0" collapsed="false">
      <c r="A19" s="16" t="n">
        <v>9</v>
      </c>
      <c r="B19" s="17" t="s">
        <v>42</v>
      </c>
      <c r="C19" s="18" t="s">
        <v>47</v>
      </c>
      <c r="D19" s="19" t="s">
        <v>48</v>
      </c>
      <c r="E19" s="20" t="n">
        <v>1</v>
      </c>
      <c r="F19" s="21" t="s">
        <v>45</v>
      </c>
      <c r="G19" s="21" t="s">
        <v>49</v>
      </c>
      <c r="H19" s="22"/>
      <c r="I19" s="23" t="s">
        <v>29</v>
      </c>
      <c r="J19" s="24"/>
    </row>
    <row r="20" customFormat="false" ht="43.5" hidden="false" customHeight="true" outlineLevel="0" collapsed="false">
      <c r="A20" s="25" t="n">
        <v>10</v>
      </c>
      <c r="B20" s="26" t="s">
        <v>42</v>
      </c>
      <c r="C20" s="27" t="s">
        <v>50</v>
      </c>
      <c r="D20" s="28" t="s">
        <v>51</v>
      </c>
      <c r="E20" s="20" t="n">
        <v>1</v>
      </c>
      <c r="F20" s="21" t="s">
        <v>52</v>
      </c>
      <c r="G20" s="21" t="s">
        <v>46</v>
      </c>
      <c r="H20" s="22"/>
      <c r="I20" s="29" t="s">
        <v>29</v>
      </c>
      <c r="J20" s="30" t="s">
        <v>53</v>
      </c>
    </row>
    <row r="21" customFormat="false" ht="43.5" hidden="false" customHeight="true" outlineLevel="0" collapsed="false">
      <c r="A21" s="16" t="n">
        <v>11</v>
      </c>
      <c r="B21" s="17" t="s">
        <v>42</v>
      </c>
      <c r="C21" s="18" t="s">
        <v>54</v>
      </c>
      <c r="D21" s="19" t="s">
        <v>55</v>
      </c>
      <c r="E21" s="20" t="n">
        <v>1</v>
      </c>
      <c r="F21" s="21" t="s">
        <v>56</v>
      </c>
      <c r="G21" s="21"/>
      <c r="H21" s="22" t="n">
        <v>46329</v>
      </c>
      <c r="I21" s="23" t="s">
        <v>29</v>
      </c>
      <c r="J21" s="24" t="s">
        <v>57</v>
      </c>
    </row>
    <row r="22" customFormat="false" ht="43.5" hidden="false" customHeight="true" outlineLevel="0" collapsed="false">
      <c r="A22" s="25" t="n">
        <v>12</v>
      </c>
      <c r="B22" s="26" t="s">
        <v>42</v>
      </c>
      <c r="C22" s="27" t="s">
        <v>58</v>
      </c>
      <c r="D22" s="28" t="s">
        <v>59</v>
      </c>
      <c r="E22" s="20"/>
      <c r="F22" s="21"/>
      <c r="G22" s="21" t="s">
        <v>60</v>
      </c>
      <c r="H22" s="22"/>
      <c r="I22" s="29" t="s">
        <v>29</v>
      </c>
      <c r="J22" s="30" t="s">
        <v>61</v>
      </c>
    </row>
    <row r="23" customFormat="false" ht="43.5" hidden="false" customHeight="true" outlineLevel="0" collapsed="false">
      <c r="A23" s="16" t="n">
        <v>13</v>
      </c>
      <c r="B23" s="17" t="s">
        <v>42</v>
      </c>
      <c r="C23" s="18" t="s">
        <v>62</v>
      </c>
      <c r="D23" s="19" t="s">
        <v>63</v>
      </c>
      <c r="E23" s="20" t="n">
        <v>2</v>
      </c>
      <c r="F23" s="21" t="s">
        <v>64</v>
      </c>
      <c r="G23" s="21" t="s">
        <v>46</v>
      </c>
      <c r="H23" s="22"/>
      <c r="I23" s="23" t="s">
        <v>29</v>
      </c>
      <c r="J23" s="24"/>
    </row>
    <row r="24" customFormat="false" ht="43.5" hidden="false" customHeight="true" outlineLevel="0" collapsed="false">
      <c r="A24" s="25" t="n">
        <v>14</v>
      </c>
      <c r="B24" s="26" t="s">
        <v>42</v>
      </c>
      <c r="C24" s="27" t="s">
        <v>65</v>
      </c>
      <c r="D24" s="28" t="s">
        <v>66</v>
      </c>
      <c r="E24" s="20" t="n">
        <v>2</v>
      </c>
      <c r="F24" s="21" t="s">
        <v>67</v>
      </c>
      <c r="G24" s="21" t="s">
        <v>46</v>
      </c>
      <c r="H24" s="22"/>
      <c r="I24" s="29" t="s">
        <v>29</v>
      </c>
      <c r="J24" s="30"/>
    </row>
    <row r="25" customFormat="false" ht="43.5" hidden="false" customHeight="true" outlineLevel="0" collapsed="false">
      <c r="A25" s="16" t="n">
        <v>15</v>
      </c>
      <c r="B25" s="17" t="s">
        <v>42</v>
      </c>
      <c r="C25" s="18" t="s">
        <v>68</v>
      </c>
      <c r="D25" s="19" t="s">
        <v>69</v>
      </c>
      <c r="E25" s="20" t="n">
        <v>2</v>
      </c>
      <c r="F25" s="21" t="s">
        <v>67</v>
      </c>
      <c r="G25" s="21" t="s">
        <v>46</v>
      </c>
      <c r="H25" s="22"/>
      <c r="I25" s="23" t="s">
        <v>29</v>
      </c>
      <c r="J25" s="24"/>
    </row>
    <row r="26" customFormat="false" ht="43.5" hidden="false" customHeight="true" outlineLevel="0" collapsed="false">
      <c r="A26" s="25" t="n">
        <v>16</v>
      </c>
      <c r="B26" s="26" t="s">
        <v>42</v>
      </c>
      <c r="C26" s="27" t="s">
        <v>70</v>
      </c>
      <c r="D26" s="28" t="s">
        <v>71</v>
      </c>
      <c r="E26" s="20" t="n">
        <v>3</v>
      </c>
      <c r="F26" s="21" t="s">
        <v>72</v>
      </c>
      <c r="G26" s="21" t="s">
        <v>49</v>
      </c>
      <c r="H26" s="22"/>
      <c r="I26" s="29" t="s">
        <v>29</v>
      </c>
      <c r="J26" s="30"/>
    </row>
    <row r="27" customFormat="false" ht="43.5" hidden="false" customHeight="true" outlineLevel="0" collapsed="false">
      <c r="A27" s="16" t="n">
        <v>17</v>
      </c>
      <c r="B27" s="17" t="s">
        <v>42</v>
      </c>
      <c r="C27" s="18" t="s">
        <v>73</v>
      </c>
      <c r="D27" s="19" t="s">
        <v>74</v>
      </c>
      <c r="E27" s="20"/>
      <c r="F27" s="21"/>
      <c r="G27" s="21"/>
      <c r="H27" s="22" t="n">
        <v>46327</v>
      </c>
      <c r="I27" s="23" t="s">
        <v>32</v>
      </c>
      <c r="J27" s="24" t="s">
        <v>75</v>
      </c>
    </row>
    <row r="28" customFormat="false" ht="43.5" hidden="false" customHeight="true" outlineLevel="0" collapsed="false">
      <c r="A28" s="25" t="n">
        <v>18</v>
      </c>
      <c r="B28" s="26" t="s">
        <v>42</v>
      </c>
      <c r="C28" s="27" t="s">
        <v>76</v>
      </c>
      <c r="D28" s="28" t="s">
        <v>77</v>
      </c>
      <c r="E28" s="20"/>
      <c r="F28" s="21"/>
      <c r="G28" s="21"/>
      <c r="H28" s="22"/>
      <c r="I28" s="29" t="s">
        <v>78</v>
      </c>
      <c r="J28" s="30" t="s">
        <v>79</v>
      </c>
    </row>
    <row r="29" customFormat="false" ht="43.5" hidden="false" customHeight="true" outlineLevel="0" collapsed="false">
      <c r="A29" s="16" t="n">
        <v>19</v>
      </c>
      <c r="B29" s="17" t="s">
        <v>42</v>
      </c>
      <c r="C29" s="18" t="s">
        <v>80</v>
      </c>
      <c r="D29" s="19" t="s">
        <v>81</v>
      </c>
      <c r="E29" s="20"/>
      <c r="F29" s="21"/>
      <c r="G29" s="21"/>
      <c r="H29" s="22"/>
      <c r="I29" s="23" t="s">
        <v>29</v>
      </c>
      <c r="J29" s="24"/>
    </row>
    <row r="30" customFormat="false" ht="43.5" hidden="false" customHeight="true" outlineLevel="0" collapsed="false">
      <c r="A30" s="25" t="n">
        <v>20</v>
      </c>
      <c r="B30" s="26" t="s">
        <v>42</v>
      </c>
      <c r="C30" s="27" t="s">
        <v>82</v>
      </c>
      <c r="D30" s="28" t="s">
        <v>83</v>
      </c>
      <c r="E30" s="20"/>
      <c r="F30" s="21"/>
      <c r="G30" s="21" t="s">
        <v>84</v>
      </c>
      <c r="H30" s="22"/>
      <c r="I30" s="29" t="s">
        <v>36</v>
      </c>
      <c r="J30" s="30"/>
    </row>
    <row r="31" customFormat="false" ht="43.5" hidden="false" customHeight="true" outlineLevel="0" collapsed="false">
      <c r="A31" s="16" t="n">
        <v>21</v>
      </c>
      <c r="B31" s="17"/>
      <c r="C31" s="18"/>
      <c r="D31" s="19"/>
      <c r="E31" s="20"/>
      <c r="F31" s="21"/>
      <c r="G31" s="21"/>
      <c r="H31" s="22"/>
      <c r="I31" s="23"/>
      <c r="J31" s="24"/>
    </row>
    <row r="32" customFormat="false" ht="43.5" hidden="false" customHeight="true" outlineLevel="0" collapsed="false">
      <c r="A32" s="25" t="n">
        <v>22</v>
      </c>
      <c r="B32" s="26"/>
      <c r="C32" s="27"/>
      <c r="D32" s="28"/>
      <c r="E32" s="20"/>
      <c r="F32" s="21"/>
      <c r="G32" s="21"/>
      <c r="H32" s="22"/>
      <c r="I32" s="29"/>
      <c r="J32" s="30"/>
    </row>
    <row r="33" customFormat="false" ht="43.5" hidden="false" customHeight="true" outlineLevel="0" collapsed="false">
      <c r="A33" s="16" t="n">
        <v>23</v>
      </c>
      <c r="B33" s="17"/>
      <c r="C33" s="18"/>
      <c r="D33" s="19"/>
      <c r="E33" s="20"/>
      <c r="F33" s="21"/>
      <c r="G33" s="21"/>
      <c r="H33" s="22"/>
      <c r="I33" s="23"/>
      <c r="J33" s="24"/>
    </row>
    <row r="34" customFormat="false" ht="43.5" hidden="false" customHeight="true" outlineLevel="0" collapsed="false">
      <c r="A34" s="25" t="n">
        <v>24</v>
      </c>
      <c r="B34" s="26"/>
      <c r="C34" s="27"/>
      <c r="D34" s="28"/>
      <c r="E34" s="20"/>
      <c r="F34" s="21"/>
      <c r="G34" s="21"/>
      <c r="H34" s="22"/>
      <c r="I34" s="29"/>
      <c r="J34" s="30"/>
    </row>
    <row r="35" customFormat="false" ht="43.5" hidden="false" customHeight="true" outlineLevel="0" collapsed="false">
      <c r="A35" s="16" t="n">
        <v>25</v>
      </c>
      <c r="B35" s="17"/>
      <c r="C35" s="18"/>
      <c r="D35" s="19"/>
      <c r="E35" s="20"/>
      <c r="F35" s="21"/>
      <c r="G35" s="21"/>
      <c r="H35" s="22"/>
      <c r="I35" s="23"/>
      <c r="J35" s="24"/>
    </row>
  </sheetData>
  <autoFilter ref="A10:J35"/>
  <mergeCells count="2">
    <mergeCell ref="E5:F5"/>
    <mergeCell ref="E6:F6"/>
  </mergeCells>
  <conditionalFormatting sqref="I11:I35">
    <cfRule type="expression" priority="2" aboveAverage="0" equalAverage="0" bottom="0" percent="0" rank="0" text="" dxfId="23">
      <formula>$I11="Da fare"</formula>
    </cfRule>
    <cfRule type="expression" priority="3" aboveAverage="0" equalAverage="0" bottom="0" percent="0" rank="0" text="" dxfId="24">
      <formula>$I11="In corso"</formula>
    </cfRule>
    <cfRule type="expression" priority="4" aboveAverage="0" equalAverage="0" bottom="0" percent="0" rank="0" text="" dxfId="25">
      <formula>$I11="In revisione"</formula>
    </cfRule>
    <cfRule type="expression" priority="5" aboveAverage="0" equalAverage="0" bottom="0" percent="0" rank="0" text="" dxfId="26">
      <formula>$I11="In attesa"</formula>
    </cfRule>
    <cfRule type="expression" priority="6" aboveAverage="0" equalAverage="0" bottom="0" percent="0" rank="0" text="" dxfId="27">
      <formula>$I11="Programmata"</formula>
    </cfRule>
    <cfRule type="expression" priority="7" aboveAverage="0" equalAverage="0" bottom="0" percent="0" rank="0" text="" dxfId="28">
      <formula>$I11="Fatto"</formula>
    </cfRule>
  </conditionalFormatting>
  <conditionalFormatting sqref="E11:E35">
    <cfRule type="expression" priority="8" aboveAverage="0" equalAverage="0" bottom="0" percent="0" rank="0" text="" dxfId="29">
      <formula>$E11=1</formula>
    </cfRule>
    <cfRule type="expression" priority="9" aboveAverage="0" equalAverage="0" bottom="0" percent="0" rank="0" text="" dxfId="30">
      <formula>$E11=2</formula>
    </cfRule>
    <cfRule type="expression" priority="10" aboveAverage="0" equalAverage="0" bottom="0" percent="0" rank="0" text="" dxfId="31">
      <formula>$E11=3</formula>
    </cfRule>
  </conditionalFormatting>
  <conditionalFormatting sqref="C11:C35">
    <cfRule type="expression" priority="11" aboveAverage="0" equalAverage="0" bottom="0" percent="0" rank="0" text="" dxfId="32">
      <formula>$I11="Fatto"</formula>
    </cfRule>
  </conditionalFormatting>
  <dataValidations count="2">
    <dataValidation allowBlank="true" errorStyle="stop" operator="between" showDropDown="false" showErrorMessage="false" showInputMessage="false" sqref="I11:I35" type="list">
      <formula1>"Da fare,In corso,In revisione,In attesa,Programmata,Fatto"</formula1>
      <formula2>0</formula2>
    </dataValidation>
    <dataValidation allowBlank="true" errorStyle="stop" operator="between" showDropDown="false" showErrorMessage="false" showInputMessage="false" sqref="E11:E3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&amp;LAIFG · Piano operativo Tappa Zero&amp;RPagina &amp;P di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2CE"/>
    <pageSetUpPr fitToPage="true"/>
  </sheetPr>
  <dimension ref="A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17" min="17" style="0" width="36"/>
  </cols>
  <sheetData>
    <row r="1" customFormat="false" ht="30" hidden="false" customHeight="true" outlineLevel="0" collapsed="false">
      <c r="A1" s="1"/>
      <c r="B1" s="1"/>
      <c r="C1" s="2" t="s">
        <v>85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1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8" hidden="false" customHeight="true" outlineLevel="0" collapsed="false">
      <c r="A3" s="1"/>
      <c r="B3" s="1"/>
      <c r="C3" s="4" t="s">
        <v>86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customFormat="false" ht="18" hidden="false" customHeight="true" outlineLevel="0" collapsed="false">
      <c r="B5" s="6" t="s">
        <v>87</v>
      </c>
      <c r="C5" s="6"/>
      <c r="D5" s="5" t="s">
        <v>88</v>
      </c>
      <c r="E5" s="6" t="s">
        <v>89</v>
      </c>
      <c r="F5" s="6"/>
      <c r="G5" s="6"/>
      <c r="H5" s="6" t="s">
        <v>90</v>
      </c>
      <c r="I5" s="6"/>
      <c r="J5" s="6" t="s">
        <v>91</v>
      </c>
      <c r="K5" s="6"/>
      <c r="L5" s="6"/>
      <c r="M5" s="6" t="s">
        <v>92</v>
      </c>
      <c r="N5" s="6"/>
    </row>
    <row r="6" customFormat="false" ht="33.75" hidden="false" customHeight="true" outlineLevel="0" collapsed="false">
      <c r="B6" s="31" t="n">
        <f aca="false">SUMIFS($J$11:$J$44,$M$11:$M$44,"Sì")</f>
        <v>4588.4</v>
      </c>
      <c r="C6" s="31"/>
      <c r="D6" s="32" t="n">
        <f aca="false">SUMIFS($J$11:$J$44,$L$11:$L$44,"Opzionale",$M$11:$M$44,"No")</f>
        <v>3000</v>
      </c>
      <c r="E6" s="33" t="n">
        <f aca="false">B6+D6</f>
        <v>7588.4</v>
      </c>
      <c r="F6" s="33"/>
      <c r="G6" s="33"/>
      <c r="H6" s="34" t="n">
        <f aca="false">COUNTIFS($L$11:$L$44,"Da definire")</f>
        <v>7</v>
      </c>
      <c r="I6" s="34"/>
      <c r="J6" s="35"/>
      <c r="K6" s="35"/>
      <c r="L6" s="35"/>
      <c r="M6" s="36" t="str">
        <f aca="false">IF(J6="","",J6-B6)</f>
        <v/>
      </c>
      <c r="N6" s="36"/>
    </row>
    <row r="8" customFormat="false" ht="15" hidden="false" customHeight="false" outlineLevel="0" collapsed="false">
      <c r="B8" s="12" t="s">
        <v>8</v>
      </c>
      <c r="C8" s="13" t="s">
        <v>93</v>
      </c>
    </row>
    <row r="10" customFormat="false" ht="25.5" hidden="false" customHeight="true" outlineLevel="0" collapsed="false">
      <c r="A10" s="14" t="s">
        <v>10</v>
      </c>
      <c r="B10" s="14" t="s">
        <v>94</v>
      </c>
      <c r="C10" s="15" t="s">
        <v>95</v>
      </c>
      <c r="D10" s="15" t="s">
        <v>96</v>
      </c>
      <c r="E10" s="14" t="s">
        <v>97</v>
      </c>
      <c r="F10" s="14" t="s">
        <v>14</v>
      </c>
      <c r="G10" s="14" t="s">
        <v>98</v>
      </c>
      <c r="H10" s="14" t="s">
        <v>99</v>
      </c>
      <c r="I10" s="14" t="s">
        <v>100</v>
      </c>
      <c r="J10" s="14" t="s">
        <v>101</v>
      </c>
      <c r="K10" s="14" t="s">
        <v>102</v>
      </c>
      <c r="L10" s="14" t="s">
        <v>17</v>
      </c>
      <c r="M10" s="14" t="s">
        <v>103</v>
      </c>
      <c r="N10" s="14" t="s">
        <v>104</v>
      </c>
      <c r="O10" s="14" t="s">
        <v>105</v>
      </c>
      <c r="P10" s="14" t="s">
        <v>106</v>
      </c>
      <c r="Q10" s="15" t="s">
        <v>18</v>
      </c>
    </row>
    <row r="11" customFormat="false" ht="78" hidden="false" customHeight="true" outlineLevel="0" collapsed="false">
      <c r="A11" s="16" t="n">
        <v>1</v>
      </c>
      <c r="B11" s="17" t="s">
        <v>107</v>
      </c>
      <c r="C11" s="18" t="s">
        <v>108</v>
      </c>
      <c r="D11" s="19" t="s">
        <v>109</v>
      </c>
      <c r="E11" s="37" t="s">
        <v>110</v>
      </c>
      <c r="F11" s="38" t="s">
        <v>111</v>
      </c>
      <c r="G11" s="39" t="n">
        <v>100</v>
      </c>
      <c r="H11" s="40" t="s">
        <v>112</v>
      </c>
      <c r="I11" s="41" t="n">
        <f aca="false">180/100</f>
        <v>1.8</v>
      </c>
      <c r="J11" s="42" t="n">
        <f aca="false">IF(OR(G11="",I11=""),"",G11*I11)</f>
        <v>180</v>
      </c>
      <c r="K11" s="40" t="s">
        <v>113</v>
      </c>
      <c r="L11" s="23" t="s">
        <v>114</v>
      </c>
      <c r="M11" s="43" t="s">
        <v>115</v>
      </c>
      <c r="N11" s="44" t="s">
        <v>116</v>
      </c>
      <c r="O11" s="45"/>
      <c r="P11" s="46" t="s">
        <v>117</v>
      </c>
      <c r="Q11" s="24" t="s">
        <v>118</v>
      </c>
    </row>
    <row r="12" customFormat="false" ht="78" hidden="false" customHeight="true" outlineLevel="0" collapsed="false">
      <c r="A12" s="25" t="n">
        <v>2</v>
      </c>
      <c r="B12" s="26" t="s">
        <v>107</v>
      </c>
      <c r="C12" s="27" t="s">
        <v>119</v>
      </c>
      <c r="D12" s="28" t="s">
        <v>120</v>
      </c>
      <c r="E12" s="37" t="s">
        <v>121</v>
      </c>
      <c r="F12" s="38" t="s">
        <v>122</v>
      </c>
      <c r="G12" s="39" t="n">
        <v>250</v>
      </c>
      <c r="H12" s="47" t="s">
        <v>112</v>
      </c>
      <c r="I12" s="41" t="n">
        <f aca="false">126/250</f>
        <v>0.504</v>
      </c>
      <c r="J12" s="48" t="n">
        <f aca="false">IF(OR(G12="",I12=""),"",G12*I12)</f>
        <v>126</v>
      </c>
      <c r="K12" s="47" t="s">
        <v>113</v>
      </c>
      <c r="L12" s="29" t="s">
        <v>123</v>
      </c>
      <c r="M12" s="49" t="s">
        <v>124</v>
      </c>
      <c r="N12" s="50" t="s">
        <v>116</v>
      </c>
      <c r="O12" s="45"/>
      <c r="P12" s="46" t="s">
        <v>117</v>
      </c>
      <c r="Q12" s="30" t="s">
        <v>125</v>
      </c>
    </row>
    <row r="13" customFormat="false" ht="78" hidden="false" customHeight="true" outlineLevel="0" collapsed="false">
      <c r="A13" s="16" t="n">
        <v>3</v>
      </c>
      <c r="B13" s="17" t="s">
        <v>107</v>
      </c>
      <c r="C13" s="18" t="s">
        <v>126</v>
      </c>
      <c r="D13" s="19" t="s">
        <v>127</v>
      </c>
      <c r="E13" s="37" t="s">
        <v>121</v>
      </c>
      <c r="F13" s="38" t="s">
        <v>122</v>
      </c>
      <c r="G13" s="39" t="n">
        <v>250</v>
      </c>
      <c r="H13" s="40" t="s">
        <v>112</v>
      </c>
      <c r="I13" s="41" t="n">
        <f aca="false">50/250</f>
        <v>0.2</v>
      </c>
      <c r="J13" s="42" t="n">
        <f aca="false">IF(OR(G13="",I13=""),"",G13*I13)</f>
        <v>50</v>
      </c>
      <c r="K13" s="40" t="s">
        <v>113</v>
      </c>
      <c r="L13" s="23" t="s">
        <v>114</v>
      </c>
      <c r="M13" s="43" t="s">
        <v>115</v>
      </c>
      <c r="N13" s="44" t="s">
        <v>116</v>
      </c>
      <c r="O13" s="45"/>
      <c r="P13" s="46" t="s">
        <v>117</v>
      </c>
      <c r="Q13" s="24" t="s">
        <v>128</v>
      </c>
    </row>
    <row r="14" customFormat="false" ht="78" hidden="false" customHeight="true" outlineLevel="0" collapsed="false">
      <c r="A14" s="25" t="n">
        <v>4</v>
      </c>
      <c r="B14" s="26" t="s">
        <v>107</v>
      </c>
      <c r="C14" s="27" t="s">
        <v>129</v>
      </c>
      <c r="D14" s="28" t="s">
        <v>130</v>
      </c>
      <c r="E14" s="37" t="s">
        <v>131</v>
      </c>
      <c r="F14" s="38" t="s">
        <v>132</v>
      </c>
      <c r="G14" s="39" t="n">
        <v>200</v>
      </c>
      <c r="H14" s="47" t="s">
        <v>112</v>
      </c>
      <c r="I14" s="41" t="n">
        <v>1.2</v>
      </c>
      <c r="J14" s="48" t="n">
        <f aca="false">IF(OR(G14="",I14=""),"",G14*I14)</f>
        <v>240</v>
      </c>
      <c r="K14" s="47" t="s">
        <v>113</v>
      </c>
      <c r="L14" s="29" t="s">
        <v>114</v>
      </c>
      <c r="M14" s="49" t="s">
        <v>115</v>
      </c>
      <c r="N14" s="50" t="s">
        <v>116</v>
      </c>
      <c r="O14" s="45"/>
      <c r="P14" s="46" t="s">
        <v>117</v>
      </c>
      <c r="Q14" s="30" t="s">
        <v>133</v>
      </c>
    </row>
    <row r="15" customFormat="false" ht="78" hidden="false" customHeight="true" outlineLevel="0" collapsed="false">
      <c r="A15" s="16" t="n">
        <v>5</v>
      </c>
      <c r="B15" s="17" t="s">
        <v>134</v>
      </c>
      <c r="C15" s="18" t="s">
        <v>135</v>
      </c>
      <c r="D15" s="19" t="s">
        <v>136</v>
      </c>
      <c r="E15" s="37" t="s">
        <v>137</v>
      </c>
      <c r="F15" s="38" t="s">
        <v>138</v>
      </c>
      <c r="G15" s="39" t="n">
        <v>4</v>
      </c>
      <c r="H15" s="40" t="s">
        <v>112</v>
      </c>
      <c r="I15" s="41" t="n">
        <v>37</v>
      </c>
      <c r="J15" s="42" t="n">
        <f aca="false">IF(OR(G15="",I15=""),"",G15*I15)</f>
        <v>148</v>
      </c>
      <c r="K15" s="40" t="s">
        <v>113</v>
      </c>
      <c r="L15" s="23" t="s">
        <v>114</v>
      </c>
      <c r="M15" s="43" t="s">
        <v>115</v>
      </c>
      <c r="N15" s="44" t="s">
        <v>116</v>
      </c>
      <c r="O15" s="45"/>
      <c r="P15" s="46" t="s">
        <v>117</v>
      </c>
      <c r="Q15" s="24"/>
    </row>
    <row r="16" customFormat="false" ht="78" hidden="false" customHeight="true" outlineLevel="0" collapsed="false">
      <c r="A16" s="25" t="n">
        <v>6</v>
      </c>
      <c r="B16" s="26" t="s">
        <v>134</v>
      </c>
      <c r="C16" s="27" t="s">
        <v>139</v>
      </c>
      <c r="D16" s="28" t="s">
        <v>140</v>
      </c>
      <c r="E16" s="37" t="s">
        <v>137</v>
      </c>
      <c r="F16" s="38" t="s">
        <v>138</v>
      </c>
      <c r="G16" s="39" t="n">
        <v>4</v>
      </c>
      <c r="H16" s="47" t="s">
        <v>112</v>
      </c>
      <c r="I16" s="41" t="n">
        <v>17.85</v>
      </c>
      <c r="J16" s="48" t="n">
        <f aca="false">IF(OR(G16="",I16=""),"",G16*I16)</f>
        <v>71.4</v>
      </c>
      <c r="K16" s="47" t="s">
        <v>113</v>
      </c>
      <c r="L16" s="29" t="s">
        <v>114</v>
      </c>
      <c r="M16" s="49" t="s">
        <v>115</v>
      </c>
      <c r="N16" s="50" t="s">
        <v>116</v>
      </c>
      <c r="O16" s="45" t="s">
        <v>141</v>
      </c>
      <c r="P16" s="46" t="s">
        <v>117</v>
      </c>
      <c r="Q16" s="30"/>
    </row>
    <row r="17" customFormat="false" ht="78" hidden="false" customHeight="true" outlineLevel="0" collapsed="false">
      <c r="A17" s="16" t="n">
        <v>7</v>
      </c>
      <c r="B17" s="17" t="s">
        <v>134</v>
      </c>
      <c r="C17" s="18" t="s">
        <v>142</v>
      </c>
      <c r="D17" s="19" t="s">
        <v>143</v>
      </c>
      <c r="E17" s="37"/>
      <c r="F17" s="38"/>
      <c r="G17" s="39"/>
      <c r="H17" s="40"/>
      <c r="I17" s="41"/>
      <c r="J17" s="42" t="str">
        <f aca="false">IF(OR(G17="",I17=""),"",G17*I17)</f>
        <v/>
      </c>
      <c r="K17" s="40" t="s">
        <v>113</v>
      </c>
      <c r="L17" s="23" t="s">
        <v>144</v>
      </c>
      <c r="M17" s="43" t="s">
        <v>115</v>
      </c>
      <c r="N17" s="44" t="s">
        <v>116</v>
      </c>
      <c r="O17" s="45"/>
      <c r="P17" s="46" t="s">
        <v>117</v>
      </c>
      <c r="Q17" s="24" t="s">
        <v>145</v>
      </c>
    </row>
    <row r="18" customFormat="false" ht="78" hidden="false" customHeight="true" outlineLevel="0" collapsed="false">
      <c r="A18" s="25" t="n">
        <v>8</v>
      </c>
      <c r="B18" s="26" t="s">
        <v>134</v>
      </c>
      <c r="C18" s="27" t="s">
        <v>146</v>
      </c>
      <c r="D18" s="28" t="s">
        <v>147</v>
      </c>
      <c r="E18" s="37" t="s">
        <v>137</v>
      </c>
      <c r="F18" s="38"/>
      <c r="G18" s="39" t="n">
        <v>6</v>
      </c>
      <c r="H18" s="47" t="s">
        <v>112</v>
      </c>
      <c r="I18" s="41" t="n">
        <f aca="false">130/6</f>
        <v>21.6666666666667</v>
      </c>
      <c r="J18" s="48" t="n">
        <f aca="false">IF(OR(G18="",I18=""),"",G18*I18)</f>
        <v>130</v>
      </c>
      <c r="K18" s="47" t="s">
        <v>113</v>
      </c>
      <c r="L18" s="29" t="s">
        <v>114</v>
      </c>
      <c r="M18" s="49" t="s">
        <v>115</v>
      </c>
      <c r="N18" s="50" t="s">
        <v>116</v>
      </c>
      <c r="O18" s="45" t="s">
        <v>148</v>
      </c>
      <c r="P18" s="46" t="s">
        <v>117</v>
      </c>
      <c r="Q18" s="30" t="s">
        <v>149</v>
      </c>
    </row>
    <row r="19" customFormat="false" ht="78" hidden="false" customHeight="true" outlineLevel="0" collapsed="false">
      <c r="A19" s="16" t="n">
        <v>9</v>
      </c>
      <c r="B19" s="17" t="s">
        <v>150</v>
      </c>
      <c r="C19" s="18" t="s">
        <v>151</v>
      </c>
      <c r="D19" s="19" t="s">
        <v>152</v>
      </c>
      <c r="E19" s="37"/>
      <c r="F19" s="38"/>
      <c r="G19" s="39" t="n">
        <v>10</v>
      </c>
      <c r="H19" s="40" t="s">
        <v>112</v>
      </c>
      <c r="I19" s="41"/>
      <c r="J19" s="42" t="str">
        <f aca="false">IF(OR(G19="",I19=""),"",G19*I19)</f>
        <v/>
      </c>
      <c r="K19" s="40" t="s">
        <v>113</v>
      </c>
      <c r="L19" s="23" t="s">
        <v>144</v>
      </c>
      <c r="M19" s="43" t="s">
        <v>115</v>
      </c>
      <c r="N19" s="44" t="s">
        <v>116</v>
      </c>
      <c r="O19" s="45"/>
      <c r="P19" s="46" t="s">
        <v>117</v>
      </c>
      <c r="Q19" s="24" t="s">
        <v>153</v>
      </c>
    </row>
    <row r="20" customFormat="false" ht="78" hidden="false" customHeight="true" outlineLevel="0" collapsed="false">
      <c r="A20" s="25" t="n">
        <v>10</v>
      </c>
      <c r="B20" s="26" t="s">
        <v>150</v>
      </c>
      <c r="C20" s="27" t="s">
        <v>154</v>
      </c>
      <c r="D20" s="28" t="s">
        <v>155</v>
      </c>
      <c r="E20" s="37" t="s">
        <v>137</v>
      </c>
      <c r="F20" s="38"/>
      <c r="G20" s="39" t="n">
        <v>1</v>
      </c>
      <c r="H20" s="47" t="s">
        <v>112</v>
      </c>
      <c r="I20" s="41" t="n">
        <v>60</v>
      </c>
      <c r="J20" s="48" t="n">
        <f aca="false">IF(OR(G20="",I20=""),"",G20*I20)</f>
        <v>60</v>
      </c>
      <c r="K20" s="47" t="s">
        <v>113</v>
      </c>
      <c r="L20" s="29" t="s">
        <v>114</v>
      </c>
      <c r="M20" s="49" t="s">
        <v>115</v>
      </c>
      <c r="N20" s="50" t="s">
        <v>116</v>
      </c>
      <c r="O20" s="45" t="s">
        <v>156</v>
      </c>
      <c r="P20" s="46" t="s">
        <v>117</v>
      </c>
      <c r="Q20" s="30"/>
    </row>
    <row r="21" customFormat="false" ht="78" hidden="false" customHeight="true" outlineLevel="0" collapsed="false">
      <c r="A21" s="16" t="n">
        <v>11</v>
      </c>
      <c r="B21" s="17" t="s">
        <v>150</v>
      </c>
      <c r="C21" s="18" t="s">
        <v>157</v>
      </c>
      <c r="D21" s="19" t="s">
        <v>158</v>
      </c>
      <c r="E21" s="37" t="s">
        <v>137</v>
      </c>
      <c r="F21" s="38"/>
      <c r="G21" s="39" t="n">
        <v>1</v>
      </c>
      <c r="H21" s="40" t="s">
        <v>112</v>
      </c>
      <c r="I21" s="41" t="n">
        <v>60</v>
      </c>
      <c r="J21" s="42" t="n">
        <f aca="false">IF(OR(G21="",I21=""),"",G21*I21)</f>
        <v>60</v>
      </c>
      <c r="K21" s="40" t="s">
        <v>113</v>
      </c>
      <c r="L21" s="23" t="s">
        <v>114</v>
      </c>
      <c r="M21" s="43" t="s">
        <v>115</v>
      </c>
      <c r="N21" s="44" t="s">
        <v>116</v>
      </c>
      <c r="O21" s="45" t="s">
        <v>159</v>
      </c>
      <c r="P21" s="46" t="s">
        <v>117</v>
      </c>
      <c r="Q21" s="24"/>
    </row>
    <row r="22" customFormat="false" ht="78" hidden="false" customHeight="true" outlineLevel="0" collapsed="false">
      <c r="A22" s="25" t="n">
        <v>12</v>
      </c>
      <c r="B22" s="26" t="s">
        <v>150</v>
      </c>
      <c r="C22" s="27" t="s">
        <v>160</v>
      </c>
      <c r="D22" s="28" t="s">
        <v>161</v>
      </c>
      <c r="E22" s="37" t="s">
        <v>162</v>
      </c>
      <c r="F22" s="38"/>
      <c r="G22" s="39" t="n">
        <v>1</v>
      </c>
      <c r="H22" s="47" t="s">
        <v>163</v>
      </c>
      <c r="I22" s="41" t="n">
        <v>390</v>
      </c>
      <c r="J22" s="48" t="n">
        <f aca="false">IF(OR(G22="",I22=""),"",G22*I22)</f>
        <v>390</v>
      </c>
      <c r="K22" s="47" t="s">
        <v>113</v>
      </c>
      <c r="L22" s="29" t="s">
        <v>114</v>
      </c>
      <c r="M22" s="49" t="s">
        <v>115</v>
      </c>
      <c r="N22" s="50" t="s">
        <v>116</v>
      </c>
      <c r="O22" s="45" t="s">
        <v>162</v>
      </c>
      <c r="P22" s="46" t="s">
        <v>117</v>
      </c>
      <c r="Q22" s="30" t="s">
        <v>164</v>
      </c>
    </row>
    <row r="23" customFormat="false" ht="78" hidden="false" customHeight="true" outlineLevel="0" collapsed="false">
      <c r="A23" s="16" t="n">
        <v>13</v>
      </c>
      <c r="B23" s="17" t="s">
        <v>150</v>
      </c>
      <c r="C23" s="18" t="s">
        <v>165</v>
      </c>
      <c r="D23" s="19" t="s">
        <v>166</v>
      </c>
      <c r="E23" s="37" t="s">
        <v>110</v>
      </c>
      <c r="F23" s="38" t="s">
        <v>111</v>
      </c>
      <c r="G23" s="39" t="n">
        <v>18</v>
      </c>
      <c r="H23" s="40" t="s">
        <v>112</v>
      </c>
      <c r="I23" s="41" t="n">
        <v>54</v>
      </c>
      <c r="J23" s="42" t="n">
        <f aca="false">IF(OR(G23="",I23=""),"",G23*I23)</f>
        <v>972</v>
      </c>
      <c r="K23" s="40" t="s">
        <v>167</v>
      </c>
      <c r="L23" s="23" t="s">
        <v>114</v>
      </c>
      <c r="M23" s="43" t="s">
        <v>115</v>
      </c>
      <c r="N23" s="44" t="s">
        <v>116</v>
      </c>
      <c r="O23" s="45"/>
      <c r="P23" s="46" t="s">
        <v>117</v>
      </c>
      <c r="Q23" s="24"/>
    </row>
    <row r="24" customFormat="false" ht="78" hidden="false" customHeight="true" outlineLevel="0" collapsed="false">
      <c r="A24" s="25" t="n">
        <v>14</v>
      </c>
      <c r="B24" s="26" t="s">
        <v>150</v>
      </c>
      <c r="C24" s="27" t="s">
        <v>168</v>
      </c>
      <c r="D24" s="28" t="s">
        <v>169</v>
      </c>
      <c r="E24" s="37" t="s">
        <v>121</v>
      </c>
      <c r="F24" s="38"/>
      <c r="G24" s="39" t="n">
        <v>18</v>
      </c>
      <c r="H24" s="47" t="s">
        <v>112</v>
      </c>
      <c r="I24" s="41" t="n">
        <f aca="false">654/18</f>
        <v>36.3333333333333</v>
      </c>
      <c r="J24" s="48" t="n">
        <f aca="false">IF(OR(G24="",I24=""),"",G24*I24)</f>
        <v>654</v>
      </c>
      <c r="K24" s="47" t="s">
        <v>113</v>
      </c>
      <c r="L24" s="29" t="s">
        <v>123</v>
      </c>
      <c r="M24" s="49" t="s">
        <v>124</v>
      </c>
      <c r="N24" s="50" t="s">
        <v>116</v>
      </c>
      <c r="O24" s="45"/>
      <c r="P24" s="46" t="s">
        <v>117</v>
      </c>
      <c r="Q24" s="30" t="s">
        <v>170</v>
      </c>
    </row>
    <row r="25" customFormat="false" ht="78" hidden="false" customHeight="true" outlineLevel="0" collapsed="false">
      <c r="A25" s="16" t="n">
        <v>15</v>
      </c>
      <c r="B25" s="17" t="s">
        <v>150</v>
      </c>
      <c r="C25" s="18" t="s">
        <v>171</v>
      </c>
      <c r="D25" s="19" t="s">
        <v>172</v>
      </c>
      <c r="E25" s="37" t="s">
        <v>110</v>
      </c>
      <c r="F25" s="38"/>
      <c r="G25" s="39" t="n">
        <v>13</v>
      </c>
      <c r="H25" s="40" t="s">
        <v>112</v>
      </c>
      <c r="I25" s="41" t="n">
        <v>4</v>
      </c>
      <c r="J25" s="42" t="n">
        <f aca="false">IF(OR(G25="",I25=""),"",G25*I25)</f>
        <v>52</v>
      </c>
      <c r="K25" s="40" t="s">
        <v>167</v>
      </c>
      <c r="L25" s="23" t="s">
        <v>114</v>
      </c>
      <c r="M25" s="43" t="s">
        <v>115</v>
      </c>
      <c r="N25" s="44" t="s">
        <v>116</v>
      </c>
      <c r="O25" s="45"/>
      <c r="P25" s="46" t="s">
        <v>117</v>
      </c>
      <c r="Q25" s="24" t="s">
        <v>173</v>
      </c>
    </row>
    <row r="26" customFormat="false" ht="78" hidden="false" customHeight="true" outlineLevel="0" collapsed="false">
      <c r="A26" s="25" t="n">
        <v>16</v>
      </c>
      <c r="B26" s="26" t="s">
        <v>150</v>
      </c>
      <c r="C26" s="27" t="s">
        <v>174</v>
      </c>
      <c r="D26" s="28" t="s">
        <v>175</v>
      </c>
      <c r="E26" s="37" t="s">
        <v>121</v>
      </c>
      <c r="F26" s="38"/>
      <c r="G26" s="39"/>
      <c r="H26" s="47" t="s">
        <v>112</v>
      </c>
      <c r="I26" s="41"/>
      <c r="J26" s="48" t="str">
        <f aca="false">IF(OR(G26="",I26=""),"",G26*I26)</f>
        <v/>
      </c>
      <c r="K26" s="47" t="s">
        <v>113</v>
      </c>
      <c r="L26" s="29" t="s">
        <v>144</v>
      </c>
      <c r="M26" s="49" t="s">
        <v>115</v>
      </c>
      <c r="N26" s="50" t="s">
        <v>116</v>
      </c>
      <c r="O26" s="45"/>
      <c r="P26" s="46" t="s">
        <v>117</v>
      </c>
      <c r="Q26" s="30" t="s">
        <v>176</v>
      </c>
    </row>
    <row r="27" customFormat="false" ht="78" hidden="false" customHeight="true" outlineLevel="0" collapsed="false">
      <c r="A27" s="16" t="n">
        <v>17</v>
      </c>
      <c r="B27" s="17" t="s">
        <v>150</v>
      </c>
      <c r="C27" s="18" t="s">
        <v>177</v>
      </c>
      <c r="D27" s="19" t="s">
        <v>178</v>
      </c>
      <c r="E27" s="37" t="s">
        <v>121</v>
      </c>
      <c r="F27" s="38"/>
      <c r="G27" s="39" t="n">
        <v>18</v>
      </c>
      <c r="H27" s="40" t="s">
        <v>112</v>
      </c>
      <c r="I27" s="41" t="n">
        <v>125</v>
      </c>
      <c r="J27" s="42" t="n">
        <f aca="false">IF(OR(G27="",I27=""),"",G27*I27)</f>
        <v>2250</v>
      </c>
      <c r="K27" s="40" t="s">
        <v>113</v>
      </c>
      <c r="L27" s="23" t="s">
        <v>179</v>
      </c>
      <c r="M27" s="43" t="s">
        <v>124</v>
      </c>
      <c r="N27" s="44" t="s">
        <v>116</v>
      </c>
      <c r="O27" s="45"/>
      <c r="P27" s="46" t="s">
        <v>117</v>
      </c>
      <c r="Q27" s="24" t="s">
        <v>180</v>
      </c>
    </row>
    <row r="28" customFormat="false" ht="78" hidden="false" customHeight="true" outlineLevel="0" collapsed="false">
      <c r="A28" s="25" t="n">
        <v>18</v>
      </c>
      <c r="B28" s="26" t="s">
        <v>150</v>
      </c>
      <c r="C28" s="27" t="s">
        <v>181</v>
      </c>
      <c r="D28" s="28" t="s">
        <v>182</v>
      </c>
      <c r="E28" s="37"/>
      <c r="F28" s="38"/>
      <c r="G28" s="39" t="n">
        <v>1</v>
      </c>
      <c r="H28" s="47" t="s">
        <v>163</v>
      </c>
      <c r="I28" s="41" t="n">
        <f aca="false">150/1</f>
        <v>150</v>
      </c>
      <c r="J28" s="48" t="n">
        <f aca="false">IF(OR(G28="",I28=""),"",G28*I28)</f>
        <v>150</v>
      </c>
      <c r="K28" s="47" t="s">
        <v>113</v>
      </c>
      <c r="L28" s="29" t="s">
        <v>179</v>
      </c>
      <c r="M28" s="49" t="s">
        <v>124</v>
      </c>
      <c r="N28" s="50" t="s">
        <v>116</v>
      </c>
      <c r="O28" s="45"/>
      <c r="P28" s="46" t="s">
        <v>117</v>
      </c>
      <c r="Q28" s="30" t="s">
        <v>183</v>
      </c>
    </row>
    <row r="29" customFormat="false" ht="78" hidden="false" customHeight="true" outlineLevel="0" collapsed="false">
      <c r="A29" s="16" t="n">
        <v>19</v>
      </c>
      <c r="B29" s="17" t="s">
        <v>184</v>
      </c>
      <c r="C29" s="18" t="s">
        <v>185</v>
      </c>
      <c r="D29" s="19" t="s">
        <v>186</v>
      </c>
      <c r="E29" s="37" t="s">
        <v>110</v>
      </c>
      <c r="F29" s="38"/>
      <c r="G29" s="39" t="n">
        <v>1</v>
      </c>
      <c r="H29" s="40" t="s">
        <v>112</v>
      </c>
      <c r="I29" s="41" t="n">
        <v>85</v>
      </c>
      <c r="J29" s="42" t="n">
        <f aca="false">IF(OR(G29="",I29=""),"",G29*I29)</f>
        <v>85</v>
      </c>
      <c r="K29" s="40" t="s">
        <v>167</v>
      </c>
      <c r="L29" s="23" t="s">
        <v>114</v>
      </c>
      <c r="M29" s="43" t="s">
        <v>115</v>
      </c>
      <c r="N29" s="44" t="s">
        <v>116</v>
      </c>
      <c r="O29" s="45"/>
      <c r="P29" s="46" t="s">
        <v>117</v>
      </c>
      <c r="Q29" s="24"/>
    </row>
    <row r="30" customFormat="false" ht="78" hidden="false" customHeight="true" outlineLevel="0" collapsed="false">
      <c r="A30" s="25" t="n">
        <v>20</v>
      </c>
      <c r="B30" s="26" t="s">
        <v>184</v>
      </c>
      <c r="C30" s="27" t="s">
        <v>187</v>
      </c>
      <c r="D30" s="28" t="s">
        <v>188</v>
      </c>
      <c r="E30" s="37" t="s">
        <v>137</v>
      </c>
      <c r="F30" s="38"/>
      <c r="G30" s="39" t="n">
        <v>1</v>
      </c>
      <c r="H30" s="47" t="s">
        <v>112</v>
      </c>
      <c r="I30" s="41" t="n">
        <v>80</v>
      </c>
      <c r="J30" s="48" t="n">
        <f aca="false">IF(OR(G30="",I30=""),"",G30*I30)</f>
        <v>80</v>
      </c>
      <c r="K30" s="47" t="s">
        <v>113</v>
      </c>
      <c r="L30" s="29" t="s">
        <v>114</v>
      </c>
      <c r="M30" s="49" t="s">
        <v>115</v>
      </c>
      <c r="N30" s="50" t="s">
        <v>116</v>
      </c>
      <c r="O30" s="45"/>
      <c r="P30" s="46" t="s">
        <v>117</v>
      </c>
      <c r="Q30" s="30"/>
    </row>
    <row r="31" customFormat="false" ht="78" hidden="false" customHeight="true" outlineLevel="0" collapsed="false">
      <c r="A31" s="16" t="n">
        <v>21</v>
      </c>
      <c r="B31" s="17" t="s">
        <v>184</v>
      </c>
      <c r="C31" s="18" t="s">
        <v>189</v>
      </c>
      <c r="D31" s="19" t="s">
        <v>190</v>
      </c>
      <c r="E31" s="37"/>
      <c r="F31" s="38"/>
      <c r="G31" s="39" t="n">
        <v>1</v>
      </c>
      <c r="H31" s="40" t="s">
        <v>112</v>
      </c>
      <c r="I31" s="41" t="n">
        <v>600</v>
      </c>
      <c r="J31" s="42" t="n">
        <f aca="false">IF(OR(G31="",I31=""),"",G31*I31)</f>
        <v>600</v>
      </c>
      <c r="K31" s="40" t="s">
        <v>113</v>
      </c>
      <c r="L31" s="23" t="s">
        <v>179</v>
      </c>
      <c r="M31" s="43" t="s">
        <v>124</v>
      </c>
      <c r="N31" s="44" t="s">
        <v>116</v>
      </c>
      <c r="O31" s="45"/>
      <c r="P31" s="46" t="s">
        <v>117</v>
      </c>
      <c r="Q31" s="24" t="s">
        <v>191</v>
      </c>
    </row>
    <row r="32" customFormat="false" ht="78" hidden="false" customHeight="true" outlineLevel="0" collapsed="false">
      <c r="A32" s="25" t="n">
        <v>22</v>
      </c>
      <c r="B32" s="26" t="s">
        <v>184</v>
      </c>
      <c r="C32" s="27" t="s">
        <v>192</v>
      </c>
      <c r="D32" s="28" t="s">
        <v>193</v>
      </c>
      <c r="E32" s="37"/>
      <c r="F32" s="38"/>
      <c r="G32" s="39" t="n">
        <v>2</v>
      </c>
      <c r="H32" s="47" t="s">
        <v>194</v>
      </c>
      <c r="I32" s="41" t="n">
        <v>150</v>
      </c>
      <c r="J32" s="48" t="n">
        <f aca="false">IF(OR(G32="",I32=""),"",G32*I32)</f>
        <v>300</v>
      </c>
      <c r="K32" s="47" t="s">
        <v>113</v>
      </c>
      <c r="L32" s="29" t="s">
        <v>195</v>
      </c>
      <c r="M32" s="49" t="s">
        <v>115</v>
      </c>
      <c r="N32" s="50" t="s">
        <v>116</v>
      </c>
      <c r="O32" s="45"/>
      <c r="P32" s="46" t="s">
        <v>117</v>
      </c>
      <c r="Q32" s="30" t="s">
        <v>196</v>
      </c>
    </row>
    <row r="33" customFormat="false" ht="78" hidden="false" customHeight="true" outlineLevel="0" collapsed="false">
      <c r="A33" s="16" t="n">
        <v>23</v>
      </c>
      <c r="B33" s="17" t="s">
        <v>184</v>
      </c>
      <c r="C33" s="18" t="s">
        <v>197</v>
      </c>
      <c r="D33" s="19" t="s">
        <v>198</v>
      </c>
      <c r="E33" s="37"/>
      <c r="F33" s="38"/>
      <c r="G33" s="39" t="n">
        <v>1</v>
      </c>
      <c r="H33" s="40" t="s">
        <v>112</v>
      </c>
      <c r="I33" s="41"/>
      <c r="J33" s="42" t="str">
        <f aca="false">IF(OR(G33="",I33=""),"",G33*I33)</f>
        <v/>
      </c>
      <c r="K33" s="40" t="s">
        <v>113</v>
      </c>
      <c r="L33" s="23" t="s">
        <v>144</v>
      </c>
      <c r="M33" s="43" t="s">
        <v>115</v>
      </c>
      <c r="N33" s="44" t="s">
        <v>116</v>
      </c>
      <c r="O33" s="45"/>
      <c r="P33" s="46" t="s">
        <v>117</v>
      </c>
      <c r="Q33" s="24" t="s">
        <v>199</v>
      </c>
    </row>
    <row r="34" customFormat="false" ht="78" hidden="false" customHeight="true" outlineLevel="0" collapsed="false">
      <c r="A34" s="25" t="n">
        <v>24</v>
      </c>
      <c r="B34" s="26" t="s">
        <v>200</v>
      </c>
      <c r="C34" s="27" t="s">
        <v>201</v>
      </c>
      <c r="D34" s="28" t="s">
        <v>202</v>
      </c>
      <c r="E34" s="37" t="s">
        <v>137</v>
      </c>
      <c r="F34" s="38"/>
      <c r="G34" s="39"/>
      <c r="H34" s="47" t="s">
        <v>112</v>
      </c>
      <c r="I34" s="41"/>
      <c r="J34" s="48" t="str">
        <f aca="false">IF(OR(G34="",I34=""),"",G34*I34)</f>
        <v/>
      </c>
      <c r="K34" s="47" t="s">
        <v>113</v>
      </c>
      <c r="L34" s="29" t="s">
        <v>144</v>
      </c>
      <c r="M34" s="49" t="s">
        <v>115</v>
      </c>
      <c r="N34" s="50" t="s">
        <v>116</v>
      </c>
      <c r="O34" s="45"/>
      <c r="P34" s="46" t="s">
        <v>117</v>
      </c>
      <c r="Q34" s="30" t="s">
        <v>203</v>
      </c>
    </row>
    <row r="35" customFormat="false" ht="78" hidden="false" customHeight="true" outlineLevel="0" collapsed="false">
      <c r="A35" s="16" t="n">
        <v>25</v>
      </c>
      <c r="B35" s="17" t="s">
        <v>200</v>
      </c>
      <c r="C35" s="18" t="s">
        <v>204</v>
      </c>
      <c r="D35" s="19" t="s">
        <v>205</v>
      </c>
      <c r="E35" s="37" t="s">
        <v>110</v>
      </c>
      <c r="F35" s="38"/>
      <c r="G35" s="39" t="n">
        <v>100</v>
      </c>
      <c r="H35" s="40" t="s">
        <v>112</v>
      </c>
      <c r="I35" s="41" t="n">
        <f aca="false">370/100</f>
        <v>3.7</v>
      </c>
      <c r="J35" s="42" t="n">
        <f aca="false">IF(OR(G35="",I35=""),"",G35*I35)</f>
        <v>370</v>
      </c>
      <c r="K35" s="40" t="s">
        <v>167</v>
      </c>
      <c r="L35" s="23" t="s">
        <v>114</v>
      </c>
      <c r="M35" s="43" t="s">
        <v>115</v>
      </c>
      <c r="N35" s="44" t="s">
        <v>116</v>
      </c>
      <c r="O35" s="45"/>
      <c r="P35" s="46" t="s">
        <v>117</v>
      </c>
      <c r="Q35" s="24" t="s">
        <v>206</v>
      </c>
    </row>
    <row r="36" customFormat="false" ht="78" hidden="false" customHeight="true" outlineLevel="0" collapsed="false">
      <c r="A36" s="25" t="n">
        <v>26</v>
      </c>
      <c r="B36" s="26" t="s">
        <v>200</v>
      </c>
      <c r="C36" s="27" t="s">
        <v>207</v>
      </c>
      <c r="D36" s="28" t="s">
        <v>208</v>
      </c>
      <c r="E36" s="37" t="s">
        <v>209</v>
      </c>
      <c r="F36" s="38"/>
      <c r="G36" s="39" t="n">
        <v>1</v>
      </c>
      <c r="H36" s="47" t="s">
        <v>210</v>
      </c>
      <c r="I36" s="41" t="n">
        <v>300</v>
      </c>
      <c r="J36" s="48" t="n">
        <f aca="false">IF(OR(G36="",I36=""),"",G36*I36)</f>
        <v>300</v>
      </c>
      <c r="K36" s="47" t="s">
        <v>113</v>
      </c>
      <c r="L36" s="29" t="s">
        <v>114</v>
      </c>
      <c r="M36" s="49" t="s">
        <v>115</v>
      </c>
      <c r="N36" s="50" t="s">
        <v>116</v>
      </c>
      <c r="O36" s="45"/>
      <c r="P36" s="46" t="s">
        <v>117</v>
      </c>
      <c r="Q36" s="30"/>
    </row>
    <row r="37" customFormat="false" ht="78" hidden="false" customHeight="true" outlineLevel="0" collapsed="false">
      <c r="A37" s="16" t="n">
        <v>27</v>
      </c>
      <c r="B37" s="17" t="s">
        <v>211</v>
      </c>
      <c r="C37" s="18" t="s">
        <v>212</v>
      </c>
      <c r="D37" s="19" t="s">
        <v>213</v>
      </c>
      <c r="E37" s="37"/>
      <c r="F37" s="38" t="s">
        <v>52</v>
      </c>
      <c r="G37" s="39"/>
      <c r="H37" s="40" t="s">
        <v>214</v>
      </c>
      <c r="I37" s="41"/>
      <c r="J37" s="42" t="str">
        <f aca="false">IF(OR(G37="",I37=""),"",G37*I37)</f>
        <v/>
      </c>
      <c r="K37" s="40" t="s">
        <v>113</v>
      </c>
      <c r="L37" s="23" t="s">
        <v>144</v>
      </c>
      <c r="M37" s="43" t="s">
        <v>115</v>
      </c>
      <c r="N37" s="44" t="s">
        <v>116</v>
      </c>
      <c r="O37" s="45"/>
      <c r="P37" s="46" t="s">
        <v>117</v>
      </c>
      <c r="Q37" s="24" t="s">
        <v>215</v>
      </c>
    </row>
    <row r="38" customFormat="false" ht="78" hidden="false" customHeight="true" outlineLevel="0" collapsed="false">
      <c r="A38" s="25" t="n">
        <v>28</v>
      </c>
      <c r="B38" s="26" t="s">
        <v>211</v>
      </c>
      <c r="C38" s="27" t="s">
        <v>76</v>
      </c>
      <c r="D38" s="28" t="s">
        <v>77</v>
      </c>
      <c r="E38" s="37"/>
      <c r="F38" s="38"/>
      <c r="G38" s="39" t="n">
        <v>1</v>
      </c>
      <c r="H38" s="47" t="s">
        <v>216</v>
      </c>
      <c r="I38" s="41" t="n">
        <f aca="false">1100/1</f>
        <v>1100</v>
      </c>
      <c r="J38" s="48" t="n">
        <f aca="false">IF(OR(G38="",I38=""),"",G38*I38)</f>
        <v>1100</v>
      </c>
      <c r="K38" s="47" t="s">
        <v>113</v>
      </c>
      <c r="L38" s="29" t="s">
        <v>217</v>
      </c>
      <c r="M38" s="49" t="s">
        <v>115</v>
      </c>
      <c r="N38" s="50" t="s">
        <v>116</v>
      </c>
      <c r="O38" s="45"/>
      <c r="P38" s="46" t="s">
        <v>117</v>
      </c>
      <c r="Q38" s="30" t="s">
        <v>218</v>
      </c>
    </row>
    <row r="39" customFormat="false" ht="78" hidden="false" customHeight="true" outlineLevel="0" collapsed="false">
      <c r="A39" s="16" t="n">
        <v>29</v>
      </c>
      <c r="B39" s="17" t="s">
        <v>211</v>
      </c>
      <c r="C39" s="18" t="s">
        <v>219</v>
      </c>
      <c r="D39" s="19" t="s">
        <v>220</v>
      </c>
      <c r="E39" s="37"/>
      <c r="F39" s="38"/>
      <c r="G39" s="39"/>
      <c r="H39" s="40" t="s">
        <v>221</v>
      </c>
      <c r="I39" s="41"/>
      <c r="J39" s="42" t="str">
        <f aca="false">IF(OR(G39="",I39=""),"",G39*I39)</f>
        <v/>
      </c>
      <c r="K39" s="40" t="s">
        <v>113</v>
      </c>
      <c r="L39" s="23" t="s">
        <v>144</v>
      </c>
      <c r="M39" s="43" t="s">
        <v>115</v>
      </c>
      <c r="N39" s="44" t="s">
        <v>116</v>
      </c>
      <c r="O39" s="45"/>
      <c r="P39" s="46" t="s">
        <v>117</v>
      </c>
      <c r="Q39" s="24" t="s">
        <v>222</v>
      </c>
    </row>
    <row r="40" customFormat="false" ht="78" hidden="false" customHeight="true" outlineLevel="0" collapsed="false">
      <c r="A40" s="25" t="n">
        <v>30</v>
      </c>
      <c r="B40" s="26"/>
      <c r="C40" s="27"/>
      <c r="D40" s="28"/>
      <c r="E40" s="37"/>
      <c r="F40" s="38"/>
      <c r="G40" s="39"/>
      <c r="H40" s="47"/>
      <c r="I40" s="41"/>
      <c r="J40" s="48" t="str">
        <f aca="false">IF(OR(G40="",I40=""),"",G40*I40)</f>
        <v/>
      </c>
      <c r="K40" s="47"/>
      <c r="L40" s="29"/>
      <c r="M40" s="49"/>
      <c r="N40" s="50"/>
      <c r="O40" s="45"/>
      <c r="P40" s="46" t="s">
        <v>117</v>
      </c>
      <c r="Q40" s="30"/>
    </row>
    <row r="41" customFormat="false" ht="78" hidden="false" customHeight="true" outlineLevel="0" collapsed="false">
      <c r="A41" s="16" t="n">
        <v>31</v>
      </c>
      <c r="B41" s="17"/>
      <c r="C41" s="18"/>
      <c r="D41" s="19"/>
      <c r="E41" s="37"/>
      <c r="F41" s="38"/>
      <c r="G41" s="39"/>
      <c r="H41" s="40"/>
      <c r="I41" s="41"/>
      <c r="J41" s="42" t="str">
        <f aca="false">IF(OR(G41="",I41=""),"",G41*I41)</f>
        <v/>
      </c>
      <c r="K41" s="40"/>
      <c r="L41" s="23"/>
      <c r="M41" s="43"/>
      <c r="N41" s="44"/>
      <c r="O41" s="45"/>
      <c r="P41" s="46" t="s">
        <v>117</v>
      </c>
      <c r="Q41" s="24"/>
    </row>
    <row r="42" customFormat="false" ht="78" hidden="false" customHeight="true" outlineLevel="0" collapsed="false">
      <c r="A42" s="25" t="n">
        <v>32</v>
      </c>
      <c r="B42" s="26"/>
      <c r="C42" s="27"/>
      <c r="D42" s="28"/>
      <c r="E42" s="37"/>
      <c r="F42" s="38"/>
      <c r="G42" s="39"/>
      <c r="H42" s="47"/>
      <c r="I42" s="41"/>
      <c r="J42" s="48" t="str">
        <f aca="false">IF(OR(G42="",I42=""),"",G42*I42)</f>
        <v/>
      </c>
      <c r="K42" s="47"/>
      <c r="L42" s="29"/>
      <c r="M42" s="49"/>
      <c r="N42" s="50"/>
      <c r="O42" s="45"/>
      <c r="P42" s="46" t="s">
        <v>117</v>
      </c>
      <c r="Q42" s="30"/>
    </row>
    <row r="43" customFormat="false" ht="78" hidden="false" customHeight="true" outlineLevel="0" collapsed="false">
      <c r="A43" s="16" t="n">
        <v>33</v>
      </c>
      <c r="B43" s="17"/>
      <c r="C43" s="18"/>
      <c r="D43" s="19"/>
      <c r="E43" s="37"/>
      <c r="F43" s="38"/>
      <c r="G43" s="39"/>
      <c r="H43" s="40"/>
      <c r="I43" s="41"/>
      <c r="J43" s="42" t="str">
        <f aca="false">IF(OR(G43="",I43=""),"",G43*I43)</f>
        <v/>
      </c>
      <c r="K43" s="40"/>
      <c r="L43" s="23"/>
      <c r="M43" s="43"/>
      <c r="N43" s="44"/>
      <c r="O43" s="45"/>
      <c r="P43" s="46" t="s">
        <v>117</v>
      </c>
      <c r="Q43" s="24"/>
    </row>
    <row r="44" customFormat="false" ht="78" hidden="false" customHeight="true" outlineLevel="0" collapsed="false">
      <c r="A44" s="25" t="n">
        <v>34</v>
      </c>
      <c r="B44" s="26"/>
      <c r="C44" s="27"/>
      <c r="D44" s="28"/>
      <c r="E44" s="37"/>
      <c r="F44" s="38"/>
      <c r="G44" s="39"/>
      <c r="H44" s="47"/>
      <c r="I44" s="41"/>
      <c r="J44" s="48" t="str">
        <f aca="false">IF(OR(G44="",I44=""),"",G44*I44)</f>
        <v/>
      </c>
      <c r="K44" s="47"/>
      <c r="L44" s="29"/>
      <c r="M44" s="49"/>
      <c r="N44" s="50"/>
      <c r="O44" s="45"/>
      <c r="P44" s="46" t="s">
        <v>117</v>
      </c>
      <c r="Q44" s="30"/>
    </row>
    <row r="45" customFormat="false" ht="27.75" hidden="false" customHeight="true" outlineLevel="0" collapsed="false">
      <c r="A45" s="1"/>
      <c r="B45" s="1"/>
      <c r="C45" s="51" t="s">
        <v>223</v>
      </c>
      <c r="D45" s="1"/>
      <c r="E45" s="1"/>
      <c r="F45" s="1"/>
      <c r="G45" s="1"/>
      <c r="H45" s="1"/>
      <c r="I45" s="1"/>
      <c r="J45" s="52" t="n">
        <f aca="false">SUMIFS($J$11:$J$44,$M$11:$M$44,"Sì")</f>
        <v>4588.4</v>
      </c>
      <c r="K45" s="1"/>
      <c r="L45" s="1"/>
      <c r="M45" s="1"/>
      <c r="N45" s="1"/>
      <c r="O45" s="1"/>
      <c r="P45" s="1"/>
      <c r="Q45" s="1"/>
    </row>
    <row r="47" customFormat="false" ht="15" hidden="false" customHeight="false" outlineLevel="0" collapsed="false">
      <c r="B47" s="53" t="s">
        <v>224</v>
      </c>
    </row>
    <row r="48" customFormat="false" ht="15" hidden="false" customHeight="false" outlineLevel="0" collapsed="false">
      <c r="B48" s="54" t="s">
        <v>225</v>
      </c>
    </row>
    <row r="49" customFormat="false" ht="15" hidden="false" customHeight="false" outlineLevel="0" collapsed="false">
      <c r="B49" s="54" t="s">
        <v>226</v>
      </c>
    </row>
    <row r="50" customFormat="false" ht="15" hidden="false" customHeight="false" outlineLevel="0" collapsed="false">
      <c r="B50" s="54" t="s">
        <v>227</v>
      </c>
    </row>
    <row r="51" customFormat="false" ht="15" hidden="false" customHeight="false" outlineLevel="0" collapsed="false">
      <c r="B51" s="54" t="s">
        <v>228</v>
      </c>
    </row>
  </sheetData>
  <autoFilter ref="A10:Q44"/>
  <mergeCells count="10">
    <mergeCell ref="B5:C5"/>
    <mergeCell ref="E5:G5"/>
    <mergeCell ref="H5:I5"/>
    <mergeCell ref="J5:L5"/>
    <mergeCell ref="M5:N5"/>
    <mergeCell ref="B6:C6"/>
    <mergeCell ref="E6:G6"/>
    <mergeCell ref="H6:I6"/>
    <mergeCell ref="J6:L6"/>
    <mergeCell ref="M6:N6"/>
  </mergeCells>
  <conditionalFormatting sqref="L11:L44">
    <cfRule type="expression" priority="2" aboveAverage="0" equalAverage="0" bottom="0" percent="0" rank="0" text="" dxfId="28">
      <formula>$L11="Confermato"</formula>
    </cfRule>
    <cfRule type="expression" priority="3" aboveAverage="0" equalAverage="0" bottom="0" percent="0" rank="0" text="" dxfId="24">
      <formula>$L11="Preventivo"</formula>
    </cfRule>
    <cfRule type="expression" priority="4" aboveAverage="0" equalAverage="0" bottom="0" percent="0" rank="0" text="" dxfId="25">
      <formula>$L11="Stima"</formula>
    </cfRule>
    <cfRule type="expression" priority="5" aboveAverage="0" equalAverage="0" bottom="0" percent="0" rank="0" text="" dxfId="26">
      <formula>$L11="Opzionale"</formula>
    </cfRule>
    <cfRule type="expression" priority="6" aboveAverage="0" equalAverage="0" bottom="0" percent="0" rank="0" text="" dxfId="23">
      <formula>$L11="Alternativa"</formula>
    </cfRule>
    <cfRule type="expression" priority="7" aboveAverage="0" equalAverage="0" bottom="0" percent="0" rank="0" text="" dxfId="35">
      <formula>$L11="Da definire"</formula>
    </cfRule>
  </conditionalFormatting>
  <conditionalFormatting sqref="N11:N44">
    <cfRule type="expression" priority="8" aboveAverage="0" equalAverage="0" bottom="0" percent="0" rank="0" text="" dxfId="36">
      <formula>$N11="Ordinato"</formula>
    </cfRule>
    <cfRule type="expression" priority="9" aboveAverage="0" equalAverage="0" bottom="0" percent="0" rank="0" text="" dxfId="37">
      <formula>$N11="Consegnato"</formula>
    </cfRule>
    <cfRule type="expression" priority="10" aboveAverage="0" equalAverage="0" bottom="0" percent="0" rank="0" text="" dxfId="38">
      <formula>$N11="Pagato"</formula>
    </cfRule>
  </conditionalFormatting>
  <conditionalFormatting sqref="J11:J44">
    <cfRule type="expression" priority="11" aboveAverage="0" equalAverage="0" bottom="0" percent="0" rank="0" text="" dxfId="39">
      <formula>$M11="No"</formula>
    </cfRule>
  </conditionalFormatting>
  <dataValidations count="3">
    <dataValidation allowBlank="true" errorStyle="stop" operator="between" showDropDown="false" showErrorMessage="false" showInputMessage="false" sqref="L11:L44" type="list">
      <formula1>"Confermato,Preventivo,Stima,Opzionale,Alternativa,Da definire"</formula1>
      <formula2>0</formula2>
    </dataValidation>
    <dataValidation allowBlank="true" errorStyle="stop" operator="between" showDropDown="false" showErrorMessage="false" showInputMessage="false" sqref="M11:M44" type="list">
      <formula1>"Sì,No"</formula1>
      <formula2>0</formula2>
    </dataValidation>
    <dataValidation allowBlank="true" errorStyle="stop" operator="between" showDropDown="false" showErrorMessage="false" showInputMessage="false" sqref="N11:N44" type="list">
      <formula1>"Da ordinare,Ordinato,Consegnato,Pagato"</formula1>
      <formula2>0</formula2>
    </dataValidation>
  </dataValidations>
  <hyperlinks>
    <hyperlink ref="O16" r:id="rId2" display="amazon.it/dp/B07CZBPPCB"/>
    <hyperlink ref="O18" r:id="rId3" display="amazon.it/dp/B0DMSW62F3"/>
    <hyperlink ref="O20" r:id="rId4" display="amazon.it/dp/B0CHSD1N1Y"/>
    <hyperlink ref="O21" r:id="rId5" display="amazon.it/dp/B0GWH247DF"/>
    <hyperlink ref="O22" r:id="rId6" display="golfflags.eu"/>
  </hyperlink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&amp;LAIFG · Preventivo Tappa Zero&amp;RPagina &amp;P di &amp;N</oddFooter>
  </headerFooter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C0A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/>
      <c r="B1" s="55" t="s">
        <v>229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56" t="s">
        <v>230</v>
      </c>
      <c r="C2" s="1"/>
      <c r="D2" s="1"/>
      <c r="E2" s="1"/>
      <c r="F2" s="1"/>
      <c r="G2" s="1"/>
    </row>
    <row r="4" customFormat="false" ht="24" hidden="false" customHeight="true" outlineLevel="0" collapsed="false">
      <c r="A4" s="57"/>
      <c r="B4" s="58" t="s">
        <v>94</v>
      </c>
      <c r="C4" s="57" t="s">
        <v>231</v>
      </c>
      <c r="D4" s="57" t="s">
        <v>87</v>
      </c>
      <c r="E4" s="57" t="s">
        <v>88</v>
      </c>
      <c r="F4" s="57" t="s">
        <v>101</v>
      </c>
      <c r="G4" s="57" t="s">
        <v>232</v>
      </c>
    </row>
    <row r="5" customFormat="false" ht="24" hidden="false" customHeight="true" outlineLevel="0" collapsed="false">
      <c r="A5" s="59" t="s">
        <v>233</v>
      </c>
      <c r="B5" s="60" t="s">
        <v>234</v>
      </c>
      <c r="C5" s="61" t="n">
        <f aca="false">COUNTIFS(Preventivo!$B$11:$B$44,"A · Materiale marketing")</f>
        <v>4</v>
      </c>
      <c r="D5" s="62" t="n">
        <f aca="false">SUMIFS(Preventivo!$J$11:$J$44,Preventivo!$B$11:$B$44,"A · Materiale marketing",Preventivo!$M$11:$M$44,"Sì")</f>
        <v>470</v>
      </c>
      <c r="E5" s="63" t="n">
        <f aca="false">SUMIFS(Preventivo!$J$11:$J$44,Preventivo!$B$11:$B$44,"A · Materiale marketing",Preventivo!$L$11:$L$44,"Opzionale",Preventivo!$M$11:$M$44,"No")</f>
        <v>0</v>
      </c>
      <c r="F5" s="63" t="n">
        <f aca="false">D5+E5</f>
        <v>470</v>
      </c>
      <c r="G5" s="64" t="n">
        <f aca="false">IF($D$11=0,0,D5/$D$11)</f>
        <v>0.102432220381832</v>
      </c>
    </row>
    <row r="6" customFormat="false" ht="24" hidden="false" customHeight="true" outlineLevel="0" collapsed="false">
      <c r="A6" s="59" t="s">
        <v>235</v>
      </c>
      <c r="B6" s="60" t="s">
        <v>236</v>
      </c>
      <c r="C6" s="61" t="n">
        <f aca="false">COUNTIFS(Preventivo!$B$11:$B$44,"B · Punto ristoro e briefing")</f>
        <v>4</v>
      </c>
      <c r="D6" s="62" t="n">
        <f aca="false">SUMIFS(Preventivo!$J$11:$J$44,Preventivo!$B$11:$B$44,"B · Punto ristoro e briefing",Preventivo!$M$11:$M$44,"Sì")</f>
        <v>349.4</v>
      </c>
      <c r="E6" s="63" t="n">
        <f aca="false">SUMIFS(Preventivo!$J$11:$J$44,Preventivo!$B$11:$B$44,"B · Punto ristoro e briefing",Preventivo!$L$11:$L$44,"Opzionale",Preventivo!$M$11:$M$44,"No")</f>
        <v>0</v>
      </c>
      <c r="F6" s="63" t="n">
        <f aca="false">D6+E6</f>
        <v>349.4</v>
      </c>
      <c r="G6" s="64" t="n">
        <f aca="false">IF($D$11=0,0,D6/$D$11)</f>
        <v>0.0761485485136431</v>
      </c>
    </row>
    <row r="7" customFormat="false" ht="24" hidden="false" customHeight="true" outlineLevel="0" collapsed="false">
      <c r="A7" s="59" t="s">
        <v>237</v>
      </c>
      <c r="B7" s="60" t="s">
        <v>238</v>
      </c>
      <c r="C7" s="61" t="n">
        <f aca="false">COUNTIFS(Preventivo!$B$11:$B$44,"C · Percorso e partenze")</f>
        <v>10</v>
      </c>
      <c r="D7" s="62" t="n">
        <f aca="false">SUMIFS(Preventivo!$J$11:$J$44,Preventivo!$B$11:$B$44,"C · Percorso e partenze",Preventivo!$M$11:$M$44,"Sì")</f>
        <v>1534</v>
      </c>
      <c r="E7" s="63" t="n">
        <f aca="false">SUMIFS(Preventivo!$J$11:$J$44,Preventivo!$B$11:$B$44,"C · Percorso e partenze",Preventivo!$L$11:$L$44,"Opzionale",Preventivo!$M$11:$M$44,"No")</f>
        <v>2400</v>
      </c>
      <c r="F7" s="63" t="n">
        <f aca="false">D7+E7</f>
        <v>3934</v>
      </c>
      <c r="G7" s="64" t="n">
        <f aca="false">IF($D$11=0,0,D7/$D$11)</f>
        <v>0.334321332054747</v>
      </c>
    </row>
    <row r="8" customFormat="false" ht="24" hidden="false" customHeight="true" outlineLevel="0" collapsed="false">
      <c r="A8" s="59" t="s">
        <v>239</v>
      </c>
      <c r="B8" s="60" t="s">
        <v>240</v>
      </c>
      <c r="C8" s="61" t="n">
        <f aca="false">COUNTIFS(Preventivo!$B$11:$B$44,"D · Immagine e media")</f>
        <v>5</v>
      </c>
      <c r="D8" s="62" t="n">
        <f aca="false">SUMIFS(Preventivo!$J$11:$J$44,Preventivo!$B$11:$B$44,"D · Immagine e media",Preventivo!$M$11:$M$44,"Sì")</f>
        <v>465</v>
      </c>
      <c r="E8" s="63" t="n">
        <f aca="false">SUMIFS(Preventivo!$J$11:$J$44,Preventivo!$B$11:$B$44,"D · Immagine e media",Preventivo!$L$11:$L$44,"Opzionale",Preventivo!$M$11:$M$44,"No")</f>
        <v>600</v>
      </c>
      <c r="F8" s="63" t="n">
        <f aca="false">D8+E8</f>
        <v>1065</v>
      </c>
      <c r="G8" s="64" t="n">
        <f aca="false">IF($D$11=0,0,D8/$D$11)</f>
        <v>0.101342515909685</v>
      </c>
    </row>
    <row r="9" customFormat="false" ht="24" hidden="false" customHeight="true" outlineLevel="0" collapsed="false">
      <c r="A9" s="59" t="s">
        <v>241</v>
      </c>
      <c r="B9" s="60" t="s">
        <v>242</v>
      </c>
      <c r="C9" s="61" t="n">
        <f aca="false">COUNTIFS(Preventivo!$B$11:$B$44,"E · Accoglienza")</f>
        <v>3</v>
      </c>
      <c r="D9" s="62" t="n">
        <f aca="false">SUMIFS(Preventivo!$J$11:$J$44,Preventivo!$B$11:$B$44,"E · Accoglienza",Preventivo!$M$11:$M$44,"Sì")</f>
        <v>670</v>
      </c>
      <c r="E9" s="63" t="n">
        <f aca="false">SUMIFS(Preventivo!$J$11:$J$44,Preventivo!$B$11:$B$44,"E · Accoglienza",Preventivo!$L$11:$L$44,"Opzionale",Preventivo!$M$11:$M$44,"No")</f>
        <v>0</v>
      </c>
      <c r="F9" s="63" t="n">
        <f aca="false">D9+E9</f>
        <v>670</v>
      </c>
      <c r="G9" s="64" t="n">
        <f aca="false">IF($D$11=0,0,D9/$D$11)</f>
        <v>0.146020399267719</v>
      </c>
    </row>
    <row r="10" customFormat="false" ht="24" hidden="false" customHeight="true" outlineLevel="0" collapsed="false">
      <c r="A10" s="59" t="s">
        <v>243</v>
      </c>
      <c r="B10" s="60" t="s">
        <v>244</v>
      </c>
      <c r="C10" s="61" t="n">
        <f aca="false">COUNTIFS(Preventivo!$B$11:$B$44,"F · Staff e ospitalità")</f>
        <v>3</v>
      </c>
      <c r="D10" s="62" t="n">
        <f aca="false">SUMIFS(Preventivo!$J$11:$J$44,Preventivo!$B$11:$B$44,"F · Staff e ospitalità",Preventivo!$M$11:$M$44,"Sì")</f>
        <v>1100</v>
      </c>
      <c r="E10" s="63" t="n">
        <f aca="false">SUMIFS(Preventivo!$J$11:$J$44,Preventivo!$B$11:$B$44,"F · Staff e ospitalità",Preventivo!$L$11:$L$44,"Opzionale",Preventivo!$M$11:$M$44,"No")</f>
        <v>0</v>
      </c>
      <c r="F10" s="63" t="n">
        <f aca="false">D10+E10</f>
        <v>1100</v>
      </c>
      <c r="G10" s="64" t="n">
        <f aca="false">IF($D$11=0,0,D10/$D$11)</f>
        <v>0.239734983872374</v>
      </c>
    </row>
    <row r="11" customFormat="false" ht="25.5" hidden="false" customHeight="true" outlineLevel="0" collapsed="false">
      <c r="A11" s="1"/>
      <c r="B11" s="65" t="s">
        <v>101</v>
      </c>
      <c r="C11" s="66" t="n">
        <f aca="false">SUM(C5:C10)</f>
        <v>29</v>
      </c>
      <c r="D11" s="67" t="n">
        <f aca="false">SUM(D5:D10)</f>
        <v>4588.4</v>
      </c>
      <c r="E11" s="68" t="n">
        <f aca="false">SUM(E5:E10)</f>
        <v>3000</v>
      </c>
      <c r="F11" s="68" t="n">
        <f aca="false">SUM(F5:F10)</f>
        <v>7588.4</v>
      </c>
      <c r="G11" s="69" t="n">
        <f aca="false">IF($D$11=0,0,SUM(G5:G10))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B3F0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/>
      <c r="B1" s="70" t="s">
        <v>245</v>
      </c>
      <c r="C1" s="1"/>
      <c r="D1" s="1"/>
    </row>
    <row r="2" customFormat="false" ht="15" hidden="false" customHeight="false" outlineLevel="0" collapsed="false">
      <c r="A2" s="1"/>
      <c r="B2" s="56" t="s">
        <v>246</v>
      </c>
      <c r="C2" s="1"/>
      <c r="D2" s="1"/>
    </row>
    <row r="4" customFormat="false" ht="15" hidden="false" customHeight="false" outlineLevel="0" collapsed="false">
      <c r="A4" s="71"/>
      <c r="B4" s="71" t="s">
        <v>247</v>
      </c>
      <c r="C4" s="71" t="s">
        <v>248</v>
      </c>
      <c r="D4" s="71" t="s">
        <v>249</v>
      </c>
    </row>
    <row r="5" customFormat="false" ht="15" hidden="false" customHeight="false" outlineLevel="0" collapsed="false">
      <c r="A5" s="72"/>
      <c r="B5" s="73" t="s">
        <v>250</v>
      </c>
      <c r="C5" s="72"/>
      <c r="D5" s="74"/>
    </row>
    <row r="6" customFormat="false" ht="15" hidden="false" customHeight="false" outlineLevel="0" collapsed="false">
      <c r="A6" s="72"/>
      <c r="B6" s="73" t="s">
        <v>251</v>
      </c>
      <c r="C6" s="72"/>
      <c r="D6" s="74"/>
    </row>
    <row r="7" customFormat="false" ht="15" hidden="false" customHeight="false" outlineLevel="0" collapsed="false">
      <c r="A7" s="72"/>
      <c r="B7" s="73" t="s">
        <v>252</v>
      </c>
      <c r="C7" s="72"/>
      <c r="D7" s="74"/>
    </row>
    <row r="8" customFormat="false" ht="15" hidden="false" customHeight="false" outlineLevel="0" collapsed="false">
      <c r="C8" s="75" t="s">
        <v>253</v>
      </c>
      <c r="D8" s="76"/>
    </row>
    <row r="9" customFormat="false" ht="15" hidden="false" customHeight="false" outlineLevel="0" collapsed="false">
      <c r="C9" s="75" t="s">
        <v>254</v>
      </c>
      <c r="D9" s="76"/>
    </row>
    <row r="10" customFormat="false" ht="15" hidden="false" customHeight="false" outlineLevel="0" collapsed="false">
      <c r="C10" s="75" t="s">
        <v>255</v>
      </c>
      <c r="D10" s="76"/>
    </row>
    <row r="11" customFormat="false" ht="15" hidden="false" customHeight="false" outlineLevel="0" collapsed="false">
      <c r="C11" s="75" t="s">
        <v>256</v>
      </c>
      <c r="D11" s="76"/>
    </row>
    <row r="12" customFormat="false" ht="15" hidden="false" customHeight="false" outlineLevel="0" collapsed="false">
      <c r="A12" s="72"/>
      <c r="B12" s="73" t="s">
        <v>257</v>
      </c>
      <c r="C12" s="72"/>
      <c r="D12" s="74"/>
    </row>
    <row r="13" customFormat="false" ht="15" hidden="false" customHeight="false" outlineLevel="0" collapsed="false">
      <c r="C13" s="75" t="s">
        <v>258</v>
      </c>
      <c r="D13" s="76"/>
    </row>
    <row r="14" customFormat="false" ht="15" hidden="false" customHeight="false" outlineLevel="0" collapsed="false">
      <c r="C14" s="75" t="s">
        <v>259</v>
      </c>
      <c r="D14" s="76"/>
    </row>
    <row r="15" customFormat="false" ht="15" hidden="false" customHeight="false" outlineLevel="0" collapsed="false">
      <c r="C15" s="75" t="s">
        <v>260</v>
      </c>
      <c r="D15" s="76"/>
    </row>
    <row r="16" customFormat="false" ht="15" hidden="false" customHeight="false" outlineLevel="0" collapsed="false">
      <c r="A16" s="72"/>
      <c r="B16" s="73" t="s">
        <v>261</v>
      </c>
      <c r="C16" s="72"/>
      <c r="D16" s="74"/>
    </row>
    <row r="17" customFormat="false" ht="15" hidden="false" customHeight="false" outlineLevel="0" collapsed="false">
      <c r="A17" s="72"/>
      <c r="B17" s="73" t="s">
        <v>262</v>
      </c>
      <c r="C17" s="72"/>
      <c r="D17" s="74"/>
    </row>
    <row r="18" customFormat="false" ht="15" hidden="false" customHeight="false" outlineLevel="0" collapsed="false">
      <c r="C18" s="75" t="s">
        <v>263</v>
      </c>
      <c r="D18" s="76"/>
    </row>
    <row r="19" customFormat="false" ht="15" hidden="false" customHeight="false" outlineLevel="0" collapsed="false">
      <c r="C19" s="75" t="s">
        <v>264</v>
      </c>
      <c r="D19" s="76"/>
    </row>
    <row r="20" customFormat="false" ht="15" hidden="false" customHeight="false" outlineLevel="0" collapsed="false">
      <c r="C20" s="75" t="s">
        <v>265</v>
      </c>
      <c r="D20" s="76"/>
    </row>
    <row r="21" customFormat="false" ht="15" hidden="false" customHeight="false" outlineLevel="0" collapsed="false">
      <c r="C21" s="75" t="s">
        <v>266</v>
      </c>
      <c r="D21" s="76"/>
    </row>
    <row r="22" customFormat="false" ht="15" hidden="false" customHeight="false" outlineLevel="0" collapsed="false">
      <c r="C22" s="75" t="s">
        <v>267</v>
      </c>
      <c r="D22" s="76"/>
    </row>
    <row r="23" customFormat="false" ht="15" hidden="false" customHeight="false" outlineLevel="0" collapsed="false">
      <c r="A23" s="72"/>
      <c r="B23" s="73" t="s">
        <v>268</v>
      </c>
      <c r="C23" s="72"/>
      <c r="D23" s="74"/>
    </row>
    <row r="24" customFormat="false" ht="15" hidden="false" customHeight="false" outlineLevel="0" collapsed="false">
      <c r="A24" s="72"/>
      <c r="B24" s="73" t="s">
        <v>269</v>
      </c>
      <c r="C24" s="72"/>
      <c r="D24" s="74"/>
    </row>
    <row r="25" customFormat="false" ht="15" hidden="false" customHeight="false" outlineLevel="0" collapsed="false">
      <c r="A25" s="72"/>
      <c r="B25" s="73" t="s">
        <v>270</v>
      </c>
      <c r="C25" s="72"/>
      <c r="D25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2026-10-29T11:12:27Z</dcterms:created>
  <dc:creator>openpyxl</dc:creator>
  <dc:description/>
  <dc:language>en-US</dc:language>
  <cp:lastModifiedBy/>
  <dcterms:modified xsi:type="dcterms:W3CDTF">2026-10-29T11:12:29Z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