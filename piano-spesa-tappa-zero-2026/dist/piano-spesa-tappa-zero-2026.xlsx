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o di spesa" sheetId="1" state="visible" r:id="rId3"/>
    <sheet name="Riepilogo per area" sheetId="2" state="visible" r:id="rId4"/>
  </sheets>
  <definedNames>
    <definedName function="false" hidden="false" localSheetId="0" name="_xlnm.Print_Titles" vbProcedure="false">'Piano di spesa'!$10:$10</definedName>
    <definedName function="false" hidden="true" localSheetId="0" name="_xlnm._FilterDatabase" vbProcedure="false">'Piano di spesa'!$A$10:$P$30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1" authorId="0">
      <text>
        <r>
          <rPr>
            <sz val="10"/>
            <rFont val="Arial"/>
            <family val="2"/>
          </rPr>
          <t xml:space="preserve">Dal preventivo: € 71,65 complessivi per 250 pz,</t>
        </r>
      </text>
    </comment>
    <comment ref="H12" authorId="0">
      <text>
        <r>
          <rPr>
            <sz val="10"/>
            <rFont val="Arial"/>
            <family val="2"/>
          </rPr>
          <t xml:space="preserve">Dal preventivo: € 125,90 complessivi per 250 pz,</t>
        </r>
      </text>
    </comment>
    <comment ref="H16" authorId="0">
      <text>
        <r>
          <rPr>
            <sz val="10"/>
            <rFont val="Arial"/>
            <family val="2"/>
          </rPr>
          <t xml:space="preserve">Dal preventivo: € 654,00 complessivi per 18 pz,</t>
        </r>
      </text>
    </comment>
    <comment ref="J6" authorId="0">
      <text>
        <r>
          <rPr>
            <sz val="10"/>
            <rFont val="Arial"/>
            <family val="2"/>
          </rPr>
          <t xml:space="preserve">Inserire qui il budget stanziato per la tappa: il residuo si calcola da solo.</t>
        </r>
      </text>
    </comment>
  </commentList>
</comments>
</file>

<file path=xl/sharedStrings.xml><?xml version="1.0" encoding="utf-8"?>
<sst xmlns="http://schemas.openxmlformats.org/spreadsheetml/2006/main" count="207" uniqueCount="109">
  <si>
    <t xml:space="preserve">PIANO DI SPESA · TAPPA ZERO</t>
  </si>
  <si>
    <t xml:space="preserve">14–15 Novembre 2026  ·  Il Pelagone Hotel &amp; Golf Resort, Gavorrano (GR)</t>
  </si>
  <si>
    <t xml:space="preserve">Associazione Italiana FootGolf  ·  materiale da stampare e allestire  ·  aggiornato al 28 ottobre 2026</t>
  </si>
  <si>
    <t xml:space="preserve">TOTALE BASE</t>
  </si>
  <si>
    <t xml:space="preserve">OPZIONALI</t>
  </si>
  <si>
    <t xml:space="preserve">TOTALE CON OPZIONALI</t>
  </si>
  <si>
    <t xml:space="preserve">VOCI DA DEFINIRE</t>
  </si>
  <si>
    <t xml:space="preserve">BUDGET DISPONIBILE</t>
  </si>
  <si>
    <t xml:space="preserve">RESIDUO SUL TOTALE BASE</t>
  </si>
  <si>
    <t xml:space="preserve">LEGENDA</t>
  </si>
  <si>
    <t xml:space="preserve">Celle gialle = da compilare (quantità, prezzi, fornitore, link, foto).  Stato e Nel totale: menu a tendina.  Il Totale si calcola da Q.tà × Prezzo unitario.</t>
  </si>
  <si>
    <t xml:space="preserve">N.</t>
  </si>
  <si>
    <t xml:space="preserve">AREA</t>
  </si>
  <si>
    <t xml:space="preserve">VOCE</t>
  </si>
  <si>
    <t xml:space="preserve">DESCRIZIONE / SPECIFICHE</t>
  </si>
  <si>
    <t xml:space="preserve">FORNITORE</t>
  </si>
  <si>
    <t xml:space="preserve">Q.TÀ</t>
  </si>
  <si>
    <t xml:space="preserve">UNITÀ</t>
  </si>
  <si>
    <t xml:space="preserve">PREZZO UNITARIO</t>
  </si>
  <si>
    <t xml:space="preserve">TOTALE</t>
  </si>
  <si>
    <t xml:space="preserve">IVA</t>
  </si>
  <si>
    <t xml:space="preserve">STATO</t>
  </si>
  <si>
    <t xml:space="preserve">NEL TOTALE</t>
  </si>
  <si>
    <t xml:space="preserve">ORDINE</t>
  </si>
  <si>
    <t xml:space="preserve">LINK</t>
  </si>
  <si>
    <t xml:space="preserve">FOTO</t>
  </si>
  <si>
    <t xml:space="preserve">NOTE</t>
  </si>
  <si>
    <t xml:space="preserve">A · Stampa e comunicazione</t>
  </si>
  <si>
    <t xml:space="preserve">Pieghevole A4</t>
  </si>
  <si>
    <t xml:space="preserve">2 pieghe, 6 facciate, formato A4 (21 × 29,7 cm) orizzontale.</t>
  </si>
  <si>
    <t xml:space="preserve">pz</t>
  </si>
  <si>
    <t xml:space="preserve">Inclusa</t>
  </si>
  <si>
    <t xml:space="preserve">Preventivo</t>
  </si>
  <si>
    <t xml:space="preserve">Sì</t>
  </si>
  <si>
    <t xml:space="preserve">Da ordinare</t>
  </si>
  <si>
    <t xml:space="preserve">incolla qui la foto</t>
  </si>
  <si>
    <t xml:space="preserve">Prezzo complessivo per 250 pezzi, IVA compresa.</t>
  </si>
  <si>
    <t xml:space="preserve">Pieghevole A3</t>
  </si>
  <si>
    <t xml:space="preserve">2 pieghe, 6 facciate, formato A3 (29 × 42 cm) orizzontale.</t>
  </si>
  <si>
    <t xml:space="preserve">Alternativa</t>
  </si>
  <si>
    <t xml:space="preserve">No</t>
  </si>
  <si>
    <t xml:space="preserve">In alternativa al pieghevole A4 (n. 1): +€ 54,25 se si sceglie l'A3.</t>
  </si>
  <si>
    <t xml:space="preserve">Flyer promozioni</t>
  </si>
  <si>
    <t xml:space="preserve">Flyer con le promozioni della stagione da distribuire in tappa.</t>
  </si>
  <si>
    <t xml:space="preserve">Da verificare</t>
  </si>
  <si>
    <t xml:space="preserve">Da definire</t>
  </si>
  <si>
    <t xml:space="preserve">Prezzo e tiratura da definire.</t>
  </si>
  <si>
    <t xml:space="preserve">Fiches personalizzate</t>
  </si>
  <si>
    <t xml:space="preserve">Una fiche per giocatore con il nome, usata in campo come ball marker.</t>
  </si>
  <si>
    <t xml:space="preserve">€ 1,20 a fiche, prezzo trattabile al ribasso.</t>
  </si>
  <si>
    <t xml:space="preserve">B · Allestimento del campo</t>
  </si>
  <si>
    <t xml:space="preserve">Bandiere doppio logo</t>
  </si>
  <si>
    <t xml:space="preserve">Bandiere di buca stampate con doppio logo.</t>
  </si>
  <si>
    <t xml:space="preserve">golflags.eu</t>
  </si>
  <si>
    <t xml:space="preserve">fornitura</t>
  </si>
  <si>
    <t xml:space="preserve">Verificare il numero di bandiere compreso nella fornitura.</t>
  </si>
  <si>
    <t xml:space="preserve">Pannelli forex presentazione buca</t>
  </si>
  <si>
    <t xml:space="preserve">Forex 70 × 100 cm con vernice protettiva antigraffio, uno per buca.</t>
  </si>
  <si>
    <t xml:space="preserve">€ 654 per i 18 pezzi.</t>
  </si>
  <si>
    <t xml:space="preserve">Partenze forex Women e Junior</t>
  </si>
  <si>
    <t xml:space="preserve">Segnaletica in forex per le partenze dedicate Women e Junior.</t>
  </si>
  <si>
    <t xml:space="preserve">Quantità e prezzo da definire.</t>
  </si>
  <si>
    <t xml:space="preserve">Mini vele di partenza</t>
  </si>
  <si>
    <t xml:space="preserve">Mini vele per la partenza di ogni singola buca, stile Open internazionale.</t>
  </si>
  <si>
    <t xml:space="preserve">Opzionale</t>
  </si>
  <si>
    <t xml:space="preserve">Voce eventuale: fuori dal totale base.</t>
  </si>
  <si>
    <t xml:space="preserve">C · Immagine, media e presentazione</t>
  </si>
  <si>
    <t xml:space="preserve">Wall per foto giocatori</t>
  </si>
  <si>
    <t xml:space="preserve">Fondale pubblicitario 300 × 240 cm per le foto dei giocatori.</t>
  </si>
  <si>
    <t xml:space="preserve">Telo per videoproiettore</t>
  </si>
  <si>
    <t xml:space="preserve">Telo da 120 pollici per la presentazione AIFG.</t>
  </si>
  <si>
    <t xml:space="preserve">Amazon</t>
  </si>
  <si>
    <t xml:space="preserve">Stima</t>
  </si>
  <si>
    <t xml:space="preserve">amazon.it</t>
  </si>
  <si>
    <t xml:space="preserve">Prezzo fra € 80 e € 100: messo il massimo per prudenza.</t>
  </si>
  <si>
    <t xml:space="preserve">Drone per riprese e diretta live</t>
  </si>
  <si>
    <t xml:space="preserve">DJI Mini 4 Pro o Mini 5 Pro per riprese aeree e diretta streaming della tappa.</t>
  </si>
  <si>
    <t xml:space="preserve">€ 400–700 secondo modello e kit: messo il massimo per prudenza.</t>
  </si>
  <si>
    <t xml:space="preserve">Tovaglia tavolo presentazione AIFG</t>
  </si>
  <si>
    <t xml:space="preserve">Tovaglia personalizzata per il tavolo della presentazione AIFG.</t>
  </si>
  <si>
    <t xml:space="preserve">Prezzo da richiedere.</t>
  </si>
  <si>
    <t xml:space="preserve">D · Accoglienza e punto ristoro</t>
  </si>
  <si>
    <t xml:space="preserve">Tavoli pieghevoli</t>
  </si>
  <si>
    <t xml:space="preserve">Tavolo pieghevole 180 × 70 × 74 cm, bianco.</t>
  </si>
  <si>
    <t xml:space="preserve">€ 37 a tavolo. Quantità di 4 ipotizzata: da confermare.</t>
  </si>
  <si>
    <t xml:space="preserve">Tovaglie tavoli ristoro</t>
  </si>
  <si>
    <t xml:space="preserve">Tovaglie per i tavoli del punto ristoro.</t>
  </si>
  <si>
    <t xml:space="preserve">Costo da verificare.</t>
  </si>
  <si>
    <t xml:space="preserve">Ragazze immagine</t>
  </si>
  <si>
    <t xml:space="preserve">Servizio di ragazze immagine per l'accoglienza e le premiazioni del weekend.</t>
  </si>
  <si>
    <t xml:space="preserve">servizio</t>
  </si>
  <si>
    <t xml:space="preserve">TOTALE BASE (voci «Nel totale» = Sì)</t>
  </si>
  <si>
    <t xml:space="preserve">Note</t>
  </si>
  <si>
    <t xml:space="preserve">• Pieghevole A4 (n. 1) e A3 (n. 2) sono alternativi: nel totale base c'è l'A4. Per passare all'A3 invertire «Nel totale» sulle due righe.</t>
  </si>
  <si>
    <t xml:space="preserve">• Mini vele (n. 8) è voce eventuale, fuori dal totale base. Telo proiettore (€ 80–100) e drone (€ 400–700): messo il massimo per prudenza.</t>
  </si>
  <si>
    <t xml:space="preserve">• Tavoli ristoro: quantità 4 ipotizzata, da confermare. IVA indicata come inclusa solo dove il preventivo lo dice esplicitamente.</t>
  </si>
  <si>
    <t xml:space="preserve">• Foto: in Excel 365 selezionare la cella gialla → Inserisci → Immagini → Inserisci nella cella. Le righe libere in fondo sono pronte per nuove voci.</t>
  </si>
  <si>
    <t xml:space="preserve">RIEPILOGO PER AREA</t>
  </si>
  <si>
    <t xml:space="preserve">Tappa Zero · 14–15 Novembre 2026</t>
  </si>
  <si>
    <t xml:space="preserve">N. VOCI</t>
  </si>
  <si>
    <t xml:space="preserve">% BASE</t>
  </si>
  <si>
    <t xml:space="preserve">A</t>
  </si>
  <si>
    <t xml:space="preserve">Stampa e comunicazione</t>
  </si>
  <si>
    <t xml:space="preserve">B</t>
  </si>
  <si>
    <t xml:space="preserve">Allestimento del campo</t>
  </si>
  <si>
    <t xml:space="preserve">C</t>
  </si>
  <si>
    <t xml:space="preserve">Immagine, media e presentazione</t>
  </si>
  <si>
    <t xml:space="preserve">D</t>
  </si>
  <si>
    <t xml:space="preserve">Accoglienza e punto ristoro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</si>
</sst>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€ &quot;#,##0.00;&quot;-€ &quot;#,##0.00;\–"/>
    <numFmt numFmtId="166" formatCode="0"/>
    <numFmt numFmtId="167" formatCode="#,##0"/>
    <numFmt numFmtId="168" formatCode="&quot;€ &quot;#,##0.00##;&quot;-€ &quot;#,##0.00##;\–"/>
    <numFmt numFmtId="169" formatCode="General"/>
    <numFmt numFmtId="170" formatCode="0.0%"/>
    <numFmt numFmtId="171" formatCode="0%"/>
    <numFmt numFmtId="172" formatCode="&quot;€ &quot;#,##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4FB3F0"/>
      <name val="Arial"/>
      <family val="0"/>
      <charset val="1"/>
    </font>
    <font>
      <sz val="8.5"/>
      <color rgb="FF9DA39D"/>
      <name val="Arial"/>
      <family val="0"/>
      <charset val="1"/>
    </font>
    <font>
      <b val="true"/>
      <sz val="8"/>
      <color rgb="FF6B706B"/>
      <name val="Arial"/>
      <family val="0"/>
      <charset val="1"/>
    </font>
    <font>
      <b val="true"/>
      <sz val="20"/>
      <color rgb="FF0072CE"/>
      <name val="Arial"/>
      <family val="0"/>
      <charset val="1"/>
    </font>
    <font>
      <b val="true"/>
      <sz val="20"/>
      <color rgb="FF6B706B"/>
      <name val="Arial"/>
      <family val="0"/>
      <charset val="1"/>
    </font>
    <font>
      <b val="true"/>
      <sz val="20"/>
      <color rgb="FF0A0C0A"/>
      <name val="Arial"/>
      <family val="0"/>
      <charset val="1"/>
    </font>
    <font>
      <b val="true"/>
      <sz val="20"/>
      <color rgb="FFB7791F"/>
      <name val="Arial"/>
      <family val="0"/>
      <charset val="1"/>
    </font>
    <font>
      <b val="true"/>
      <sz val="20"/>
      <color rgb="FF0A5FA0"/>
      <name val="Arial"/>
      <family val="0"/>
      <charset val="1"/>
    </font>
    <font>
      <i val="true"/>
      <sz val="9"/>
      <color rgb="FF6B706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0072CE"/>
      <name val="Arial"/>
      <family val="0"/>
      <charset val="1"/>
    </font>
    <font>
      <sz val="9"/>
      <color rgb="FF6B706B"/>
      <name val="Arial"/>
      <family val="0"/>
      <charset val="1"/>
    </font>
    <font>
      <b val="true"/>
      <sz val="10.5"/>
      <color rgb="FF0A0C0A"/>
      <name val="Arial"/>
      <family val="0"/>
      <charset val="1"/>
    </font>
    <font>
      <sz val="9.5"/>
      <color rgb="FF3A403A"/>
      <name val="Arial"/>
      <family val="0"/>
      <charset val="1"/>
    </font>
    <font>
      <sz val="10"/>
      <color rgb="FF0A0C0A"/>
      <name val="Arial"/>
      <family val="0"/>
      <charset val="1"/>
    </font>
    <font>
      <b val="true"/>
      <sz val="11"/>
      <color rgb="FF0A0C0A"/>
      <name val="Arial"/>
      <family val="0"/>
      <charset val="1"/>
    </font>
    <font>
      <b val="true"/>
      <sz val="9.5"/>
      <color rgb="FF0A0C0A"/>
      <name val="Arial"/>
      <family val="0"/>
      <charset val="1"/>
    </font>
    <font>
      <sz val="9.5"/>
      <color rgb="FF0A0C0A"/>
      <name val="Arial"/>
      <family val="0"/>
      <charset val="1"/>
    </font>
    <font>
      <u val="single"/>
      <sz val="9"/>
      <color rgb="FF0072CE"/>
      <name val="Arial"/>
      <family val="0"/>
      <charset val="1"/>
    </font>
    <font>
      <i val="true"/>
      <sz val="8"/>
      <color rgb="FFB9BEB9"/>
      <name val="Arial"/>
      <family val="0"/>
      <charset val="1"/>
    </font>
    <font>
      <sz val="9"/>
      <color rgb="FF3A40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4FB3F0"/>
      <name val="Arial"/>
      <family val="0"/>
      <charset val="1"/>
    </font>
    <font>
      <b val="true"/>
      <sz val="9"/>
      <color rgb="FF0A0C0A"/>
      <name val="Arial"/>
      <family val="0"/>
      <charset val="1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sz val="10"/>
      <color rgb="FF4FB3F0"/>
      <name val="Arial"/>
      <family val="0"/>
      <charset val="1"/>
    </font>
    <font>
      <b val="true"/>
      <sz val="12"/>
      <color rgb="FF0072CE"/>
      <name val="Arial"/>
      <family val="0"/>
      <charset val="1"/>
    </font>
    <font>
      <sz val="10.5"/>
      <color rgb="FF0A0C0A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FB3F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A0C0A"/>
        <bgColor rgb="FF000000"/>
      </patternFill>
    </fill>
    <fill>
      <patternFill patternType="solid">
        <fgColor rgb="FFF4F6F4"/>
        <bgColor rgb="FFF8FAF8"/>
      </patternFill>
    </fill>
    <fill>
      <patternFill patternType="solid">
        <fgColor rgb="FFFFF8E1"/>
        <bgColor rgb="FFFFF4D6"/>
      </patternFill>
    </fill>
    <fill>
      <patternFill patternType="solid">
        <fgColor rgb="FF0072CE"/>
        <bgColor rgb="FF0A5FA0"/>
      </patternFill>
    </fill>
    <fill>
      <patternFill patternType="solid">
        <fgColor rgb="FFFFFFFF"/>
        <bgColor rgb="FFF8FAF8"/>
      </patternFill>
    </fill>
    <fill>
      <patternFill patternType="solid">
        <fgColor rgb="FFF8FAF8"/>
        <bgColor rgb="FFF4F6F4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72CE"/>
      </bottom>
      <diagonal/>
    </border>
    <border diagonalUp="false" diagonalDown="false">
      <left/>
      <right/>
      <top/>
      <bottom style="medium">
        <color rgb="FF6B706B"/>
      </bottom>
      <diagonal/>
    </border>
    <border diagonalUp="false" diagonalDown="false">
      <left/>
      <right/>
      <top/>
      <bottom style="medium">
        <color rgb="FF0A0C0A"/>
      </bottom>
      <diagonal/>
    </border>
    <border diagonalUp="false" diagonalDown="false">
      <left/>
      <right/>
      <top/>
      <bottom style="medium">
        <color rgb="FFB7791F"/>
      </bottom>
      <diagonal/>
    </border>
    <border diagonalUp="false" diagonalDown="false">
      <left/>
      <right/>
      <top/>
      <bottom style="medium">
        <color rgb="FF0A5FA0"/>
      </bottom>
      <diagonal/>
    </border>
    <border diagonalUp="false" diagonalDown="false">
      <left style="thin">
        <color rgb="FFD5DAD5"/>
      </left>
      <right style="thin">
        <color rgb="FFD5DAD5"/>
      </right>
      <top style="thin">
        <color rgb="FFD5DAD5"/>
      </top>
      <bottom style="thin">
        <color rgb="FFD5DAD5"/>
      </bottom>
      <diagonal/>
    </border>
    <border diagonalUp="false" diagonalDown="false">
      <left/>
      <right/>
      <top/>
      <bottom style="thin">
        <color rgb="FFD5DA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6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3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0072CE"/>
          <bgColor rgb="FF000000"/>
        </patternFill>
      </fill>
    </dxf>
    <dxf>
      <fill>
        <patternFill patternType="solid">
          <fgColor rgb="FFF8F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06B"/>
          <bgColor rgb="FF000000"/>
        </patternFill>
      </fill>
    </dxf>
    <dxf>
      <fill>
        <patternFill patternType="solid">
          <fgColor rgb="FF0A0C0A"/>
          <bgColor rgb="FF000000"/>
        </patternFill>
      </fill>
    </dxf>
    <dxf>
      <fill>
        <patternFill patternType="solid">
          <fgColor rgb="FF3A403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9DA39D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EDEAF7"/>
          <bgColor rgb="FF000000"/>
        </patternFill>
      </fill>
    </dxf>
    <dxf>
      <fill>
        <patternFill patternType="solid">
          <fgColor rgb="FFEEF1EE"/>
          <bgColor rgb="FF000000"/>
        </patternFill>
      </fill>
    </dxf>
    <dxf>
      <fill>
        <patternFill patternType="solid">
          <fgColor rgb="FFFDE7E4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A5FA0"/>
          <bgColor rgb="FF000000"/>
        </patternFill>
      </fill>
    </dxf>
    <dxf>
      <fill>
        <patternFill patternType="solid">
          <fgColor rgb="FF4F3F9A"/>
          <bgColor rgb="FF000000"/>
        </patternFill>
      </fill>
    </dxf>
    <dxf>
      <fill>
        <patternFill patternType="solid">
          <fgColor rgb="FF5A605A"/>
          <bgColor rgb="FF000000"/>
        </patternFill>
      </fill>
    </dxf>
    <dxf>
      <fill>
        <patternFill patternType="solid">
          <fgColor rgb="FF8A6512"/>
          <bgColor rgb="FF000000"/>
        </patternFill>
      </fill>
    </dxf>
    <dxf>
      <fill>
        <patternFill patternType="solid">
          <fgColor rgb="FFA6362F"/>
          <bgColor rgb="FF000000"/>
        </patternFill>
      </fill>
    </dxf>
    <dxf>
      <fill>
        <patternFill patternType="solid">
          <fgColor rgb="FFB9BEB9"/>
          <bgColor rgb="FF000000"/>
        </patternFill>
      </fill>
    </dxf>
    <dxf>
      <font>
        <name val="Arial"/>
        <charset val="1"/>
        <family val="0"/>
        <b val="1"/>
        <color rgb="FF0A5FA0"/>
      </font>
      <fill>
        <patternFill>
          <bgColor rgb="FFE3F0FB"/>
        </patternFill>
      </fill>
    </dxf>
    <dxf>
      <font>
        <name val="Arial"/>
        <charset val="1"/>
        <family val="0"/>
        <b val="1"/>
        <color rgb="FF8A6512"/>
      </font>
      <fill>
        <patternFill>
          <bgColor rgb="FFFFF4D6"/>
        </patternFill>
      </fill>
    </dxf>
    <dxf>
      <font>
        <name val="Arial"/>
        <charset val="1"/>
        <family val="0"/>
        <b val="1"/>
        <color rgb="FF4F3F9A"/>
      </font>
      <fill>
        <patternFill>
          <bgColor rgb="FFEDEAF7"/>
        </patternFill>
      </fill>
    </dxf>
    <dxf>
      <font>
        <name val="Arial"/>
        <charset val="1"/>
        <family val="0"/>
        <b val="1"/>
        <color rgb="FF5A605A"/>
      </font>
      <fill>
        <patternFill>
          <bgColor rgb="FFEEF1EE"/>
        </patternFill>
      </fill>
    </dxf>
    <dxf>
      <font>
        <name val="Arial"/>
        <charset val="1"/>
        <family val="0"/>
        <b val="1"/>
        <color rgb="FFA6362F"/>
      </font>
      <fill>
        <patternFill>
          <bgColor rgb="FFFDE7E4"/>
        </patternFill>
      </fill>
    </dxf>
    <dxf>
      <font>
        <name val="Arial"/>
        <charset val="1"/>
        <family val="0"/>
        <color rgb="FF0A5FA0"/>
      </font>
      <fill>
        <patternFill>
          <bgColor rgb="FFE3F0FB"/>
        </patternFill>
      </fill>
    </dxf>
    <dxf>
      <font>
        <name val="Arial"/>
        <charset val="1"/>
        <family val="0"/>
        <color rgb="FF2C6B4C"/>
      </font>
      <fill>
        <patternFill>
          <bgColor rgb="FFE4F2E9"/>
        </patternFill>
      </fill>
    </dxf>
    <dxf>
      <font>
        <name val="Arial"/>
        <charset val="1"/>
        <family val="0"/>
        <color rgb="FF1F5A3B"/>
      </font>
      <fill>
        <patternFill>
          <bgColor rgb="FFD6EDDD"/>
        </patternFill>
      </fill>
    </dxf>
    <dxf>
      <font>
        <name val="Arial"/>
        <charset val="1"/>
        <family val="0"/>
        <i val="1"/>
        <color rgb="FF9DA39D"/>
      </font>
    </dxf>
  </dxfs>
  <colors>
    <indexedColors>
      <rgbColor rgb="FF000000"/>
      <rgbColor rgb="FFFFFFFF"/>
      <rgbColor rgb="FFFF0000"/>
      <rgbColor rgb="FF00FF00"/>
      <rgbColor rgb="FF0000FF"/>
      <rgbColor rgb="FFF4F6F4"/>
      <rgbColor rgb="FFFF00FF"/>
      <rgbColor rgb="FF00FFFF"/>
      <rgbColor rgb="FF800000"/>
      <rgbColor rgb="FF008000"/>
      <rgbColor rgb="FF000080"/>
      <rgbColor rgb="FF8A6512"/>
      <rgbColor rgb="FF800080"/>
      <rgbColor rgb="FF0A5FA0"/>
      <rgbColor rgb="FFB9BEB9"/>
      <rgbColor rgb="FF878787"/>
      <rgbColor rgb="FF9999FF"/>
      <rgbColor rgb="FF993366"/>
      <rgbColor rgb="FFFFF8E1"/>
      <rgbColor rgb="FFE3F0FB"/>
      <rgbColor rgb="FF660066"/>
      <rgbColor rgb="FFFF8080"/>
      <rgbColor rgb="FF0072CE"/>
      <rgbColor rgb="FFD9D9D9"/>
      <rgbColor rgb="FF000080"/>
      <rgbColor rgb="FFFF00FF"/>
      <rgbColor rgb="FFF8FAF8"/>
      <rgbColor rgb="FF00FFFF"/>
      <rgbColor rgb="FF800080"/>
      <rgbColor rgb="FF800000"/>
      <rgbColor rgb="FF2C6B4C"/>
      <rgbColor rgb="FF0000FF"/>
      <rgbColor rgb="FF00CCFF"/>
      <rgbColor rgb="FFE4F2E9"/>
      <rgbColor rgb="FFD6EDDD"/>
      <rgbColor rgb="FFFFF4D6"/>
      <rgbColor rgb="FFEDEAF7"/>
      <rgbColor rgb="FFFDE7E4"/>
      <rgbColor rgb="FFEEF1EE"/>
      <rgbColor rgb="FFD5DAD5"/>
      <rgbColor rgb="FF3366FF"/>
      <rgbColor rgb="FF4FB3F0"/>
      <rgbColor rgb="FF99CC00"/>
      <rgbColor rgb="FFFFCC00"/>
      <rgbColor rgb="FFFF9900"/>
      <rgbColor rgb="FFB7791F"/>
      <rgbColor rgb="FF6B706B"/>
      <rgbColor rgb="FF9DA39D"/>
      <rgbColor rgb="FF1F5A3B"/>
      <rgbColor rgb="FF5A605A"/>
      <rgbColor rgb="FF0A0C0A"/>
      <rgbColor rgb="FF333300"/>
      <rgbColor rgb="FFA6362F"/>
      <rgbColor rgb="FF993366"/>
      <rgbColor rgb="FF4F3F9A"/>
      <rgbColor rgb="FF3A4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Totale base per area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'Riepilogo per area'!D4</c:f>
              <c:strCache>
                <c:ptCount val="1"/>
                <c:pt idx="0">
                  <c:v>TOTALE BASE</c:v>
                </c:pt>
              </c:strCache>
            </c:strRef>
          </c:tx>
          <c:spPr>
            <a:solidFill>
              <a:srgbClr val="0072ce"/>
            </a:solidFill>
            <a:ln w="9360">
              <a:solidFill>
                <a:srgbClr val="0072c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'Riepilogo per area'!$B$5:$B$8</c:f>
              <c:strCache>
                <c:ptCount val="4"/>
                <c:pt idx="0">
                  <c:v>Stampa e comunicazione</c:v>
                </c:pt>
                <c:pt idx="1">
                  <c:v>Allestimento del campo</c:v>
                </c:pt>
                <c:pt idx="2">
                  <c:v>Immagine, media e presentazione</c:v>
                </c:pt>
                <c:pt idx="3">
                  <c:v>Accoglienza e punto ristoro</c:v>
                </c:pt>
              </c:strCache>
            </c:strRef>
          </c:cat>
          <c:val>
            <c:numRef>
              <c:f>'Riepilogo per area'!$D$5:$D$8</c:f>
              <c:numCache>
                <c:formatCode>"€ "#,##0.00;"-€ "#,##0.00;\–</c:formatCode>
                <c:ptCount val="4"/>
                <c:pt idx="0">
                  <c:v>311.65</c:v>
                </c:pt>
                <c:pt idx="1">
                  <c:v>1044</c:v>
                </c:pt>
                <c:pt idx="2">
                  <c:v>1379</c:v>
                </c:pt>
                <c:pt idx="3">
                  <c:v>448</c:v>
                </c:pt>
              </c:numCache>
            </c:numRef>
          </c:val>
        </c:ser>
        <c:gapWidth val="150"/>
        <c:overlap val="0"/>
        <c:axId val="94149724"/>
        <c:axId val="81542354"/>
      </c:barChart>
      <c:catAx>
        <c:axId val="941497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42354"/>
        <c:crosses val="autoZero"/>
        <c:auto val="1"/>
        <c:lblAlgn val="ctr"/>
        <c:lblOffset val="100"/>
        <c:noMultiLvlLbl val="0"/>
      </c:catAx>
      <c:valAx>
        <c:axId val="81542354"/>
        <c:scaling>
          <c:orientation val="minMax"/>
        </c:scaling>
        <c:delete val="0"/>
        <c:axPos val="l"/>
        <c:numFmt formatCode="&quot;€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497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256680</xdr:colOff>
      <xdr:row>1</xdr:row>
      <xdr:rowOff>218880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609120" cy="59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1122840</xdr:colOff>
      <xdr:row>25</xdr:row>
      <xdr:rowOff>32760</xdr:rowOff>
    </xdr:to>
    <xdr:graphicFrame>
      <xdr:nvGraphicFramePr>
        <xdr:cNvPr id="1" name="Chart 1"/>
        <xdr:cNvGraphicFramePr/>
      </xdr:nvGraphicFramePr>
      <xdr:xfrm>
        <a:off x="423000" y="29624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olflags.eu/" TargetMode="External"/><Relationship Id="rId3" Type="http://schemas.openxmlformats.org/officeDocument/2006/relationships/hyperlink" Target="https://www.amazon.it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2CE"/>
    <pageSetUpPr fitToPage="tru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1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8" hidden="false" customHeight="true" outlineLevel="0" collapsed="false">
      <c r="A3" s="1"/>
      <c r="B3" s="1"/>
      <c r="C3" s="4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customFormat="false" ht="18" hidden="false" customHeight="true" outlineLevel="0" collapsed="false">
      <c r="B5" s="5" t="s">
        <v>3</v>
      </c>
      <c r="C5" s="5"/>
      <c r="D5" s="6" t="s">
        <v>4</v>
      </c>
      <c r="E5" s="5" t="s">
        <v>5</v>
      </c>
      <c r="F5" s="5"/>
      <c r="G5" s="5"/>
      <c r="H5" s="5" t="s">
        <v>6</v>
      </c>
      <c r="I5" s="5"/>
      <c r="J5" s="5" t="s">
        <v>7</v>
      </c>
      <c r="K5" s="5"/>
      <c r="L5" s="5"/>
      <c r="M5" s="5" t="s">
        <v>8</v>
      </c>
      <c r="N5" s="5"/>
    </row>
    <row r="6" customFormat="false" ht="33.75" hidden="false" customHeight="true" outlineLevel="0" collapsed="false">
      <c r="B6" s="7" t="n">
        <f aca="false">SUMIFS($I$11:$I$30,$L$11:$L$30,"Sì")</f>
        <v>3182.65</v>
      </c>
      <c r="C6" s="7"/>
      <c r="D6" s="8" t="n">
        <f aca="false">SUMIFS($I$11:$I$30,$K$11:$K$30,"Opzionale",$L$11:$L$30,"No")</f>
        <v>2000</v>
      </c>
      <c r="E6" s="9" t="n">
        <f aca="false">B6+D6</f>
        <v>5182.65</v>
      </c>
      <c r="F6" s="9"/>
      <c r="G6" s="9"/>
      <c r="H6" s="10" t="n">
        <f aca="false">COUNTIFS($K$11:$K$30,"Da definire")</f>
        <v>4</v>
      </c>
      <c r="I6" s="10"/>
      <c r="J6" s="11"/>
      <c r="K6" s="11"/>
      <c r="L6" s="11"/>
      <c r="M6" s="12" t="str">
        <f aca="false">IF(J6="","",J6-B6)</f>
        <v/>
      </c>
      <c r="N6" s="12"/>
    </row>
    <row r="8" customFormat="false" ht="15" hidden="false" customHeight="false" outlineLevel="0" collapsed="false">
      <c r="B8" s="13" t="s">
        <v>9</v>
      </c>
      <c r="C8" s="14" t="s">
        <v>10</v>
      </c>
    </row>
    <row r="10" customFormat="false" ht="25.5" hidden="false" customHeight="true" outlineLevel="0" collapsed="false">
      <c r="A10" s="15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15" t="s">
        <v>18</v>
      </c>
      <c r="I10" s="15" t="s">
        <v>19</v>
      </c>
      <c r="J10" s="15" t="s">
        <v>20</v>
      </c>
      <c r="K10" s="15" t="s">
        <v>21</v>
      </c>
      <c r="L10" s="15" t="s">
        <v>22</v>
      </c>
      <c r="M10" s="15" t="s">
        <v>23</v>
      </c>
      <c r="N10" s="15" t="s">
        <v>24</v>
      </c>
      <c r="O10" s="15" t="s">
        <v>25</v>
      </c>
      <c r="P10" s="16" t="s">
        <v>26</v>
      </c>
    </row>
    <row r="11" customFormat="false" ht="78" hidden="false" customHeight="true" outlineLevel="0" collapsed="false">
      <c r="A11" s="17" t="n">
        <v>1</v>
      </c>
      <c r="B11" s="18" t="s">
        <v>27</v>
      </c>
      <c r="C11" s="19" t="s">
        <v>28</v>
      </c>
      <c r="D11" s="20" t="s">
        <v>29</v>
      </c>
      <c r="E11" s="21"/>
      <c r="F11" s="22" t="n">
        <v>250</v>
      </c>
      <c r="G11" s="23" t="s">
        <v>30</v>
      </c>
      <c r="H11" s="24" t="n">
        <f aca="false">71.65/250</f>
        <v>0.2866</v>
      </c>
      <c r="I11" s="25" t="n">
        <f aca="false">IF(OR(F11="",H11=""),"",F11*H11)</f>
        <v>71.65</v>
      </c>
      <c r="J11" s="23" t="s">
        <v>31</v>
      </c>
      <c r="K11" s="26" t="s">
        <v>32</v>
      </c>
      <c r="L11" s="27" t="s">
        <v>33</v>
      </c>
      <c r="M11" s="28" t="s">
        <v>34</v>
      </c>
      <c r="N11" s="29"/>
      <c r="O11" s="30" t="s">
        <v>35</v>
      </c>
      <c r="P11" s="31" t="s">
        <v>36</v>
      </c>
    </row>
    <row r="12" customFormat="false" ht="78" hidden="false" customHeight="true" outlineLevel="0" collapsed="false">
      <c r="A12" s="32" t="n">
        <v>2</v>
      </c>
      <c r="B12" s="33" t="s">
        <v>27</v>
      </c>
      <c r="C12" s="34" t="s">
        <v>37</v>
      </c>
      <c r="D12" s="35" t="s">
        <v>38</v>
      </c>
      <c r="E12" s="21"/>
      <c r="F12" s="22" t="n">
        <v>250</v>
      </c>
      <c r="G12" s="36" t="s">
        <v>30</v>
      </c>
      <c r="H12" s="24" t="n">
        <f aca="false">125.9/250</f>
        <v>0.5036</v>
      </c>
      <c r="I12" s="37" t="n">
        <f aca="false">IF(OR(F12="",H12=""),"",F12*H12)</f>
        <v>125.9</v>
      </c>
      <c r="J12" s="36" t="s">
        <v>31</v>
      </c>
      <c r="K12" s="38" t="s">
        <v>39</v>
      </c>
      <c r="L12" s="39" t="s">
        <v>40</v>
      </c>
      <c r="M12" s="40" t="s">
        <v>34</v>
      </c>
      <c r="N12" s="29"/>
      <c r="O12" s="30" t="s">
        <v>35</v>
      </c>
      <c r="P12" s="41" t="s">
        <v>41</v>
      </c>
    </row>
    <row r="13" customFormat="false" ht="78" hidden="false" customHeight="true" outlineLevel="0" collapsed="false">
      <c r="A13" s="17" t="n">
        <v>3</v>
      </c>
      <c r="B13" s="18" t="s">
        <v>27</v>
      </c>
      <c r="C13" s="19" t="s">
        <v>42</v>
      </c>
      <c r="D13" s="20" t="s">
        <v>43</v>
      </c>
      <c r="E13" s="21"/>
      <c r="F13" s="22"/>
      <c r="G13" s="23" t="s">
        <v>30</v>
      </c>
      <c r="H13" s="24"/>
      <c r="I13" s="25" t="str">
        <f aca="false">IF(OR(F13="",H13=""),"",F13*H13)</f>
        <v/>
      </c>
      <c r="J13" s="23" t="s">
        <v>44</v>
      </c>
      <c r="K13" s="26" t="s">
        <v>45</v>
      </c>
      <c r="L13" s="27" t="s">
        <v>33</v>
      </c>
      <c r="M13" s="28" t="s">
        <v>34</v>
      </c>
      <c r="N13" s="29"/>
      <c r="O13" s="30" t="s">
        <v>35</v>
      </c>
      <c r="P13" s="31" t="s">
        <v>46</v>
      </c>
    </row>
    <row r="14" customFormat="false" ht="78" hidden="false" customHeight="true" outlineLevel="0" collapsed="false">
      <c r="A14" s="32" t="n">
        <v>4</v>
      </c>
      <c r="B14" s="33" t="s">
        <v>27</v>
      </c>
      <c r="C14" s="34" t="s">
        <v>47</v>
      </c>
      <c r="D14" s="35" t="s">
        <v>48</v>
      </c>
      <c r="E14" s="21"/>
      <c r="F14" s="22" t="n">
        <v>200</v>
      </c>
      <c r="G14" s="36" t="s">
        <v>30</v>
      </c>
      <c r="H14" s="24" t="n">
        <v>1.2</v>
      </c>
      <c r="I14" s="37" t="n">
        <f aca="false">IF(OR(F14="",H14=""),"",F14*H14)</f>
        <v>240</v>
      </c>
      <c r="J14" s="36" t="s">
        <v>44</v>
      </c>
      <c r="K14" s="38" t="s">
        <v>32</v>
      </c>
      <c r="L14" s="39" t="s">
        <v>33</v>
      </c>
      <c r="M14" s="40" t="s">
        <v>34</v>
      </c>
      <c r="N14" s="29"/>
      <c r="O14" s="30" t="s">
        <v>35</v>
      </c>
      <c r="P14" s="41" t="s">
        <v>49</v>
      </c>
    </row>
    <row r="15" customFormat="false" ht="78" hidden="false" customHeight="true" outlineLevel="0" collapsed="false">
      <c r="A15" s="17" t="n">
        <v>5</v>
      </c>
      <c r="B15" s="18" t="s">
        <v>50</v>
      </c>
      <c r="C15" s="19" t="s">
        <v>51</v>
      </c>
      <c r="D15" s="20" t="s">
        <v>52</v>
      </c>
      <c r="E15" s="21" t="s">
        <v>53</v>
      </c>
      <c r="F15" s="22" t="n">
        <v>1</v>
      </c>
      <c r="G15" s="23" t="s">
        <v>54</v>
      </c>
      <c r="H15" s="24" t="n">
        <v>390</v>
      </c>
      <c r="I15" s="25" t="n">
        <f aca="false">IF(OR(F15="",H15=""),"",F15*H15)</f>
        <v>390</v>
      </c>
      <c r="J15" s="23" t="s">
        <v>44</v>
      </c>
      <c r="K15" s="26" t="s">
        <v>32</v>
      </c>
      <c r="L15" s="27" t="s">
        <v>33</v>
      </c>
      <c r="M15" s="28" t="s">
        <v>34</v>
      </c>
      <c r="N15" s="29" t="s">
        <v>53</v>
      </c>
      <c r="O15" s="30" t="s">
        <v>35</v>
      </c>
      <c r="P15" s="31" t="s">
        <v>55</v>
      </c>
    </row>
    <row r="16" customFormat="false" ht="78" hidden="false" customHeight="true" outlineLevel="0" collapsed="false">
      <c r="A16" s="32" t="n">
        <v>6</v>
      </c>
      <c r="B16" s="33" t="s">
        <v>50</v>
      </c>
      <c r="C16" s="34" t="s">
        <v>56</v>
      </c>
      <c r="D16" s="35" t="s">
        <v>57</v>
      </c>
      <c r="E16" s="21"/>
      <c r="F16" s="22" t="n">
        <v>18</v>
      </c>
      <c r="G16" s="36" t="s">
        <v>30</v>
      </c>
      <c r="H16" s="24" t="n">
        <f aca="false">654/18</f>
        <v>36.3333333333333</v>
      </c>
      <c r="I16" s="37" t="n">
        <f aca="false">IF(OR(F16="",H16=""),"",F16*H16)</f>
        <v>654</v>
      </c>
      <c r="J16" s="36" t="s">
        <v>44</v>
      </c>
      <c r="K16" s="38" t="s">
        <v>32</v>
      </c>
      <c r="L16" s="39" t="s">
        <v>33</v>
      </c>
      <c r="M16" s="40" t="s">
        <v>34</v>
      </c>
      <c r="N16" s="29"/>
      <c r="O16" s="30" t="s">
        <v>35</v>
      </c>
      <c r="P16" s="41" t="s">
        <v>58</v>
      </c>
    </row>
    <row r="17" customFormat="false" ht="78" hidden="false" customHeight="true" outlineLevel="0" collapsed="false">
      <c r="A17" s="17" t="n">
        <v>7</v>
      </c>
      <c r="B17" s="18" t="s">
        <v>50</v>
      </c>
      <c r="C17" s="19" t="s">
        <v>59</v>
      </c>
      <c r="D17" s="20" t="s">
        <v>60</v>
      </c>
      <c r="E17" s="21"/>
      <c r="F17" s="22"/>
      <c r="G17" s="23" t="s">
        <v>30</v>
      </c>
      <c r="H17" s="24"/>
      <c r="I17" s="25" t="str">
        <f aca="false">IF(OR(F17="",H17=""),"",F17*H17)</f>
        <v/>
      </c>
      <c r="J17" s="23" t="s">
        <v>44</v>
      </c>
      <c r="K17" s="26" t="s">
        <v>45</v>
      </c>
      <c r="L17" s="27" t="s">
        <v>33</v>
      </c>
      <c r="M17" s="28" t="s">
        <v>34</v>
      </c>
      <c r="N17" s="29"/>
      <c r="O17" s="30" t="s">
        <v>35</v>
      </c>
      <c r="P17" s="31" t="s">
        <v>61</v>
      </c>
    </row>
    <row r="18" customFormat="false" ht="78" hidden="false" customHeight="true" outlineLevel="0" collapsed="false">
      <c r="A18" s="32" t="n">
        <v>8</v>
      </c>
      <c r="B18" s="33" t="s">
        <v>50</v>
      </c>
      <c r="C18" s="34" t="s">
        <v>62</v>
      </c>
      <c r="D18" s="35" t="s">
        <v>63</v>
      </c>
      <c r="E18" s="21"/>
      <c r="F18" s="22" t="n">
        <v>1</v>
      </c>
      <c r="G18" s="36" t="s">
        <v>54</v>
      </c>
      <c r="H18" s="24" t="n">
        <v>2000</v>
      </c>
      <c r="I18" s="37" t="n">
        <f aca="false">IF(OR(F18="",H18=""),"",F18*H18)</f>
        <v>2000</v>
      </c>
      <c r="J18" s="36" t="s">
        <v>44</v>
      </c>
      <c r="K18" s="38" t="s">
        <v>64</v>
      </c>
      <c r="L18" s="39" t="s">
        <v>40</v>
      </c>
      <c r="M18" s="40" t="s">
        <v>34</v>
      </c>
      <c r="N18" s="29"/>
      <c r="O18" s="30" t="s">
        <v>35</v>
      </c>
      <c r="P18" s="41" t="s">
        <v>65</v>
      </c>
    </row>
    <row r="19" customFormat="false" ht="78" hidden="false" customHeight="true" outlineLevel="0" collapsed="false">
      <c r="A19" s="17" t="n">
        <v>9</v>
      </c>
      <c r="B19" s="18" t="s">
        <v>66</v>
      </c>
      <c r="C19" s="19" t="s">
        <v>67</v>
      </c>
      <c r="D19" s="20" t="s">
        <v>68</v>
      </c>
      <c r="E19" s="21"/>
      <c r="F19" s="22" t="n">
        <v>1</v>
      </c>
      <c r="G19" s="23" t="s">
        <v>30</v>
      </c>
      <c r="H19" s="24" t="n">
        <v>579</v>
      </c>
      <c r="I19" s="25" t="n">
        <f aca="false">IF(OR(F19="",H19=""),"",F19*H19)</f>
        <v>579</v>
      </c>
      <c r="J19" s="23" t="s">
        <v>44</v>
      </c>
      <c r="K19" s="26" t="s">
        <v>32</v>
      </c>
      <c r="L19" s="27" t="s">
        <v>33</v>
      </c>
      <c r="M19" s="28" t="s">
        <v>34</v>
      </c>
      <c r="N19" s="29"/>
      <c r="O19" s="30" t="s">
        <v>35</v>
      </c>
      <c r="P19" s="31"/>
    </row>
    <row r="20" customFormat="false" ht="78" hidden="false" customHeight="true" outlineLevel="0" collapsed="false">
      <c r="A20" s="32" t="n">
        <v>10</v>
      </c>
      <c r="B20" s="33" t="s">
        <v>66</v>
      </c>
      <c r="C20" s="34" t="s">
        <v>69</v>
      </c>
      <c r="D20" s="35" t="s">
        <v>70</v>
      </c>
      <c r="E20" s="21" t="s">
        <v>71</v>
      </c>
      <c r="F20" s="22" t="n">
        <v>1</v>
      </c>
      <c r="G20" s="36" t="s">
        <v>30</v>
      </c>
      <c r="H20" s="24" t="n">
        <v>100</v>
      </c>
      <c r="I20" s="37" t="n">
        <f aca="false">IF(OR(F20="",H20=""),"",F20*H20)</f>
        <v>100</v>
      </c>
      <c r="J20" s="36" t="s">
        <v>44</v>
      </c>
      <c r="K20" s="38" t="s">
        <v>72</v>
      </c>
      <c r="L20" s="39" t="s">
        <v>33</v>
      </c>
      <c r="M20" s="40" t="s">
        <v>34</v>
      </c>
      <c r="N20" s="29" t="s">
        <v>73</v>
      </c>
      <c r="O20" s="30" t="s">
        <v>35</v>
      </c>
      <c r="P20" s="41" t="s">
        <v>74</v>
      </c>
    </row>
    <row r="21" customFormat="false" ht="78" hidden="false" customHeight="true" outlineLevel="0" collapsed="false">
      <c r="A21" s="17" t="n">
        <v>11</v>
      </c>
      <c r="B21" s="18" t="s">
        <v>66</v>
      </c>
      <c r="C21" s="19" t="s">
        <v>75</v>
      </c>
      <c r="D21" s="20" t="s">
        <v>76</v>
      </c>
      <c r="E21" s="21"/>
      <c r="F21" s="22" t="n">
        <v>1</v>
      </c>
      <c r="G21" s="23" t="s">
        <v>30</v>
      </c>
      <c r="H21" s="24" t="n">
        <v>700</v>
      </c>
      <c r="I21" s="25" t="n">
        <f aca="false">IF(OR(F21="",H21=""),"",F21*H21)</f>
        <v>700</v>
      </c>
      <c r="J21" s="23" t="s">
        <v>44</v>
      </c>
      <c r="K21" s="26" t="s">
        <v>72</v>
      </c>
      <c r="L21" s="27" t="s">
        <v>33</v>
      </c>
      <c r="M21" s="28" t="s">
        <v>34</v>
      </c>
      <c r="N21" s="29"/>
      <c r="O21" s="30" t="s">
        <v>35</v>
      </c>
      <c r="P21" s="31" t="s">
        <v>77</v>
      </c>
    </row>
    <row r="22" customFormat="false" ht="78" hidden="false" customHeight="true" outlineLevel="0" collapsed="false">
      <c r="A22" s="32" t="n">
        <v>12</v>
      </c>
      <c r="B22" s="33" t="s">
        <v>66</v>
      </c>
      <c r="C22" s="34" t="s">
        <v>78</v>
      </c>
      <c r="D22" s="35" t="s">
        <v>79</v>
      </c>
      <c r="E22" s="21"/>
      <c r="F22" s="22" t="n">
        <v>1</v>
      </c>
      <c r="G22" s="36" t="s">
        <v>30</v>
      </c>
      <c r="H22" s="24"/>
      <c r="I22" s="37" t="str">
        <f aca="false">IF(OR(F22="",H22=""),"",F22*H22)</f>
        <v/>
      </c>
      <c r="J22" s="36" t="s">
        <v>44</v>
      </c>
      <c r="K22" s="38" t="s">
        <v>45</v>
      </c>
      <c r="L22" s="39" t="s">
        <v>33</v>
      </c>
      <c r="M22" s="40" t="s">
        <v>34</v>
      </c>
      <c r="N22" s="29"/>
      <c r="O22" s="30" t="s">
        <v>35</v>
      </c>
      <c r="P22" s="41" t="s">
        <v>80</v>
      </c>
    </row>
    <row r="23" customFormat="false" ht="78" hidden="false" customHeight="true" outlineLevel="0" collapsed="false">
      <c r="A23" s="17" t="n">
        <v>13</v>
      </c>
      <c r="B23" s="18" t="s">
        <v>81</v>
      </c>
      <c r="C23" s="19" t="s">
        <v>82</v>
      </c>
      <c r="D23" s="20" t="s">
        <v>83</v>
      </c>
      <c r="E23" s="21"/>
      <c r="F23" s="22" t="n">
        <v>4</v>
      </c>
      <c r="G23" s="23" t="s">
        <v>30</v>
      </c>
      <c r="H23" s="24" t="n">
        <v>37</v>
      </c>
      <c r="I23" s="25" t="n">
        <f aca="false">IF(OR(F23="",H23=""),"",F23*H23)</f>
        <v>148</v>
      </c>
      <c r="J23" s="23" t="s">
        <v>44</v>
      </c>
      <c r="K23" s="26" t="s">
        <v>72</v>
      </c>
      <c r="L23" s="27" t="s">
        <v>33</v>
      </c>
      <c r="M23" s="28" t="s">
        <v>34</v>
      </c>
      <c r="N23" s="29"/>
      <c r="O23" s="30" t="s">
        <v>35</v>
      </c>
      <c r="P23" s="31" t="s">
        <v>84</v>
      </c>
    </row>
    <row r="24" customFormat="false" ht="78" hidden="false" customHeight="true" outlineLevel="0" collapsed="false">
      <c r="A24" s="32" t="n">
        <v>14</v>
      </c>
      <c r="B24" s="33" t="s">
        <v>81</v>
      </c>
      <c r="C24" s="34" t="s">
        <v>85</v>
      </c>
      <c r="D24" s="35" t="s">
        <v>86</v>
      </c>
      <c r="E24" s="21"/>
      <c r="F24" s="22" t="n">
        <v>4</v>
      </c>
      <c r="G24" s="36" t="s">
        <v>30</v>
      </c>
      <c r="H24" s="24"/>
      <c r="I24" s="37" t="str">
        <f aca="false">IF(OR(F24="",H24=""),"",F24*H24)</f>
        <v/>
      </c>
      <c r="J24" s="36" t="s">
        <v>44</v>
      </c>
      <c r="K24" s="38" t="s">
        <v>45</v>
      </c>
      <c r="L24" s="39" t="s">
        <v>33</v>
      </c>
      <c r="M24" s="40" t="s">
        <v>34</v>
      </c>
      <c r="N24" s="29"/>
      <c r="O24" s="30" t="s">
        <v>35</v>
      </c>
      <c r="P24" s="41" t="s">
        <v>87</v>
      </c>
    </row>
    <row r="25" customFormat="false" ht="78" hidden="false" customHeight="true" outlineLevel="0" collapsed="false">
      <c r="A25" s="17" t="n">
        <v>15</v>
      </c>
      <c r="B25" s="18" t="s">
        <v>81</v>
      </c>
      <c r="C25" s="19" t="s">
        <v>88</v>
      </c>
      <c r="D25" s="20" t="s">
        <v>89</v>
      </c>
      <c r="E25" s="21"/>
      <c r="F25" s="22" t="n">
        <v>1</v>
      </c>
      <c r="G25" s="23" t="s">
        <v>90</v>
      </c>
      <c r="H25" s="24" t="n">
        <v>300</v>
      </c>
      <c r="I25" s="25" t="n">
        <f aca="false">IF(OR(F25="",H25=""),"",F25*H25)</f>
        <v>300</v>
      </c>
      <c r="J25" s="23" t="s">
        <v>44</v>
      </c>
      <c r="K25" s="26" t="s">
        <v>32</v>
      </c>
      <c r="L25" s="27" t="s">
        <v>33</v>
      </c>
      <c r="M25" s="28" t="s">
        <v>34</v>
      </c>
      <c r="N25" s="29"/>
      <c r="O25" s="30" t="s">
        <v>35</v>
      </c>
      <c r="P25" s="31"/>
    </row>
    <row r="26" customFormat="false" ht="78" hidden="false" customHeight="true" outlineLevel="0" collapsed="false">
      <c r="A26" s="32" t="n">
        <v>16</v>
      </c>
      <c r="B26" s="33"/>
      <c r="C26" s="34"/>
      <c r="D26" s="35"/>
      <c r="E26" s="21"/>
      <c r="F26" s="22"/>
      <c r="G26" s="36"/>
      <c r="H26" s="24"/>
      <c r="I26" s="37" t="str">
        <f aca="false">IF(OR(F26="",H26=""),"",F26*H26)</f>
        <v/>
      </c>
      <c r="J26" s="36"/>
      <c r="K26" s="38"/>
      <c r="L26" s="39"/>
      <c r="M26" s="40"/>
      <c r="N26" s="29"/>
      <c r="O26" s="30" t="s">
        <v>35</v>
      </c>
      <c r="P26" s="41"/>
    </row>
    <row r="27" customFormat="false" ht="78" hidden="false" customHeight="true" outlineLevel="0" collapsed="false">
      <c r="A27" s="17" t="n">
        <v>17</v>
      </c>
      <c r="B27" s="18"/>
      <c r="C27" s="19"/>
      <c r="D27" s="20"/>
      <c r="E27" s="21"/>
      <c r="F27" s="22"/>
      <c r="G27" s="23"/>
      <c r="H27" s="24"/>
      <c r="I27" s="25" t="str">
        <f aca="false">IF(OR(F27="",H27=""),"",F27*H27)</f>
        <v/>
      </c>
      <c r="J27" s="23"/>
      <c r="K27" s="26"/>
      <c r="L27" s="27"/>
      <c r="M27" s="28"/>
      <c r="N27" s="29"/>
      <c r="O27" s="30" t="s">
        <v>35</v>
      </c>
      <c r="P27" s="31"/>
    </row>
    <row r="28" customFormat="false" ht="78" hidden="false" customHeight="true" outlineLevel="0" collapsed="false">
      <c r="A28" s="32" t="n">
        <v>18</v>
      </c>
      <c r="B28" s="33"/>
      <c r="C28" s="34"/>
      <c r="D28" s="35"/>
      <c r="E28" s="21"/>
      <c r="F28" s="22"/>
      <c r="G28" s="36"/>
      <c r="H28" s="24"/>
      <c r="I28" s="37" t="str">
        <f aca="false">IF(OR(F28="",H28=""),"",F28*H28)</f>
        <v/>
      </c>
      <c r="J28" s="36"/>
      <c r="K28" s="38"/>
      <c r="L28" s="39"/>
      <c r="M28" s="40"/>
      <c r="N28" s="29"/>
      <c r="O28" s="30" t="s">
        <v>35</v>
      </c>
      <c r="P28" s="41"/>
    </row>
    <row r="29" customFormat="false" ht="78" hidden="false" customHeight="true" outlineLevel="0" collapsed="false">
      <c r="A29" s="17" t="n">
        <v>19</v>
      </c>
      <c r="B29" s="18"/>
      <c r="C29" s="19"/>
      <c r="D29" s="20"/>
      <c r="E29" s="21"/>
      <c r="F29" s="22"/>
      <c r="G29" s="23"/>
      <c r="H29" s="24"/>
      <c r="I29" s="25" t="str">
        <f aca="false">IF(OR(F29="",H29=""),"",F29*H29)</f>
        <v/>
      </c>
      <c r="J29" s="23"/>
      <c r="K29" s="26"/>
      <c r="L29" s="27"/>
      <c r="M29" s="28"/>
      <c r="N29" s="29"/>
      <c r="O29" s="30" t="s">
        <v>35</v>
      </c>
      <c r="P29" s="31"/>
    </row>
    <row r="30" customFormat="false" ht="78" hidden="false" customHeight="true" outlineLevel="0" collapsed="false">
      <c r="A30" s="32" t="n">
        <v>20</v>
      </c>
      <c r="B30" s="33"/>
      <c r="C30" s="34"/>
      <c r="D30" s="35"/>
      <c r="E30" s="21"/>
      <c r="F30" s="22"/>
      <c r="G30" s="36"/>
      <c r="H30" s="24"/>
      <c r="I30" s="37" t="str">
        <f aca="false">IF(OR(F30="",H30=""),"",F30*H30)</f>
        <v/>
      </c>
      <c r="J30" s="36"/>
      <c r="K30" s="38"/>
      <c r="L30" s="39"/>
      <c r="M30" s="40"/>
      <c r="N30" s="29"/>
      <c r="O30" s="30" t="s">
        <v>35</v>
      </c>
      <c r="P30" s="41"/>
    </row>
    <row r="31" customFormat="false" ht="27.75" hidden="false" customHeight="true" outlineLevel="0" collapsed="false">
      <c r="A31" s="1"/>
      <c r="B31" s="1"/>
      <c r="C31" s="42" t="s">
        <v>91</v>
      </c>
      <c r="D31" s="1"/>
      <c r="E31" s="1"/>
      <c r="F31" s="1"/>
      <c r="G31" s="1"/>
      <c r="H31" s="1"/>
      <c r="I31" s="43" t="n">
        <f aca="false">SUMIFS($I$11:$I$30,$L$11:$L$30,"Sì")</f>
        <v>3182.65</v>
      </c>
      <c r="J31" s="1"/>
      <c r="K31" s="1"/>
      <c r="L31" s="1"/>
      <c r="M31" s="1"/>
      <c r="N31" s="1"/>
      <c r="O31" s="1"/>
      <c r="P31" s="1"/>
    </row>
    <row r="33" customFormat="false" ht="15" hidden="false" customHeight="false" outlineLevel="0" collapsed="false">
      <c r="B33" s="44" t="s">
        <v>92</v>
      </c>
    </row>
    <row r="34" customFormat="false" ht="15" hidden="false" customHeight="false" outlineLevel="0" collapsed="false">
      <c r="B34" s="45" t="s">
        <v>93</v>
      </c>
    </row>
    <row r="35" customFormat="false" ht="15" hidden="false" customHeight="false" outlineLevel="0" collapsed="false">
      <c r="B35" s="45" t="s">
        <v>94</v>
      </c>
    </row>
    <row r="36" customFormat="false" ht="15" hidden="false" customHeight="false" outlineLevel="0" collapsed="false">
      <c r="B36" s="45" t="s">
        <v>95</v>
      </c>
    </row>
    <row r="37" customFormat="false" ht="15" hidden="false" customHeight="false" outlineLevel="0" collapsed="false">
      <c r="B37" s="45" t="s">
        <v>96</v>
      </c>
    </row>
  </sheetData>
  <autoFilter ref="A10:P30"/>
  <mergeCells count="10">
    <mergeCell ref="B5:C5"/>
    <mergeCell ref="E5:G5"/>
    <mergeCell ref="H5:I5"/>
    <mergeCell ref="J5:L5"/>
    <mergeCell ref="M5:N5"/>
    <mergeCell ref="B6:C6"/>
    <mergeCell ref="E6:G6"/>
    <mergeCell ref="H6:I6"/>
    <mergeCell ref="J6:L6"/>
    <mergeCell ref="M6:N6"/>
  </mergeCells>
  <conditionalFormatting sqref="K11:K30">
    <cfRule type="expression" priority="2" aboveAverage="0" equalAverage="0" bottom="0" percent="0" rank="0" text="" dxfId="19">
      <formula>$K11="Preventivo"</formula>
    </cfRule>
    <cfRule type="expression" priority="3" aboveAverage="0" equalAverage="0" bottom="0" percent="0" rank="0" text="" dxfId="20">
      <formula>$K11="Stima"</formula>
    </cfRule>
    <cfRule type="expression" priority="4" aboveAverage="0" equalAverage="0" bottom="0" percent="0" rank="0" text="" dxfId="21">
      <formula>$K11="Opzionale"</formula>
    </cfRule>
    <cfRule type="expression" priority="5" aboveAverage="0" equalAverage="0" bottom="0" percent="0" rank="0" text="" dxfId="22">
      <formula>$K11="Alternativa"</formula>
    </cfRule>
    <cfRule type="expression" priority="6" aboveAverage="0" equalAverage="0" bottom="0" percent="0" rank="0" text="" dxfId="23">
      <formula>$K11="Da definire"</formula>
    </cfRule>
  </conditionalFormatting>
  <conditionalFormatting sqref="M11:M30">
    <cfRule type="expression" priority="7" aboveAverage="0" equalAverage="0" bottom="0" percent="0" rank="0" text="" dxfId="24">
      <formula>$M11="Ordinato"</formula>
    </cfRule>
    <cfRule type="expression" priority="8" aboveAverage="0" equalAverage="0" bottom="0" percent="0" rank="0" text="" dxfId="25">
      <formula>$M11="Consegnato"</formula>
    </cfRule>
    <cfRule type="expression" priority="9" aboveAverage="0" equalAverage="0" bottom="0" percent="0" rank="0" text="" dxfId="26">
      <formula>$M11="Pagato"</formula>
    </cfRule>
  </conditionalFormatting>
  <conditionalFormatting sqref="I11:I30">
    <cfRule type="expression" priority="10" aboveAverage="0" equalAverage="0" bottom="0" percent="0" rank="0" text="" dxfId="27">
      <formula>$L11="No"</formula>
    </cfRule>
  </conditionalFormatting>
  <dataValidations count="3">
    <dataValidation allowBlank="true" errorStyle="stop" operator="between" showDropDown="false" showErrorMessage="false" showInputMessage="false" sqref="K11:K30" type="list">
      <formula1>"Preventivo,Stima,Opzionale,Alternativa,Da definire"</formula1>
      <formula2>0</formula2>
    </dataValidation>
    <dataValidation allowBlank="true" errorStyle="stop" operator="between" showDropDown="false" showErrorMessage="false" showInputMessage="false" sqref="L11:L30" type="list">
      <formula1>"Sì,No"</formula1>
      <formula2>0</formula2>
    </dataValidation>
    <dataValidation allowBlank="true" errorStyle="stop" operator="between" showDropDown="false" showErrorMessage="false" showInputMessage="false" sqref="M11:M30" type="list">
      <formula1>"Da ordinare,Ordinato,Consegnato,Pagato"</formula1>
      <formula2>0</formula2>
    </dataValidation>
  </dataValidations>
  <hyperlinks>
    <hyperlink ref="N15" r:id="rId2" display="golflags.eu"/>
    <hyperlink ref="N20" r:id="rId3" display="amazon.it"/>
  </hyperlink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&amp;LAIFG · Piano di spesa Tappa Zero&amp;RPagina &amp;P di &amp;N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C0A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/>
      <c r="B1" s="46" t="s">
        <v>97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47" t="s">
        <v>98</v>
      </c>
      <c r="C2" s="1"/>
      <c r="D2" s="1"/>
      <c r="E2" s="1"/>
      <c r="F2" s="1"/>
      <c r="G2" s="1"/>
    </row>
    <row r="4" customFormat="false" ht="24" hidden="false" customHeight="true" outlineLevel="0" collapsed="false">
      <c r="A4" s="48"/>
      <c r="B4" s="49" t="s">
        <v>12</v>
      </c>
      <c r="C4" s="48" t="s">
        <v>99</v>
      </c>
      <c r="D4" s="48" t="s">
        <v>3</v>
      </c>
      <c r="E4" s="48" t="s">
        <v>4</v>
      </c>
      <c r="F4" s="48" t="s">
        <v>19</v>
      </c>
      <c r="G4" s="48" t="s">
        <v>100</v>
      </c>
    </row>
    <row r="5" customFormat="false" ht="24" hidden="false" customHeight="true" outlineLevel="0" collapsed="false">
      <c r="A5" s="50" t="s">
        <v>101</v>
      </c>
      <c r="B5" s="51" t="s">
        <v>102</v>
      </c>
      <c r="C5" s="52" t="n">
        <f aca="false">COUNTIFS('Piano di spesa'!$B$11:$B$30,"A · Stampa e comunicazione")</f>
        <v>4</v>
      </c>
      <c r="D5" s="53" t="n">
        <f aca="false">SUMIFS('Piano di spesa'!$I$11:$I$30,'Piano di spesa'!$B$11:$B$30,"A · Stampa e comunicazione",'Piano di spesa'!$L$11:$L$30,"Sì")</f>
        <v>311.65</v>
      </c>
      <c r="E5" s="54" t="n">
        <f aca="false">SUMIFS('Piano di spesa'!$I$11:$I$30,'Piano di spesa'!$B$11:$B$30,"A · Stampa e comunicazione",'Piano di spesa'!$K$11:$K$30,"Opzionale",'Piano di spesa'!$L$11:$L$30,"No")</f>
        <v>0</v>
      </c>
      <c r="F5" s="54" t="n">
        <f aca="false">D5+E5</f>
        <v>311.65</v>
      </c>
      <c r="G5" s="55" t="n">
        <f aca="false">IF($D$9=0,0,D5/$D$9)</f>
        <v>0.0979215433679481</v>
      </c>
    </row>
    <row r="6" customFormat="false" ht="24" hidden="false" customHeight="true" outlineLevel="0" collapsed="false">
      <c r="A6" s="50" t="s">
        <v>103</v>
      </c>
      <c r="B6" s="51" t="s">
        <v>104</v>
      </c>
      <c r="C6" s="52" t="n">
        <f aca="false">COUNTIFS('Piano di spesa'!$B$11:$B$30,"B · Allestimento del campo")</f>
        <v>4</v>
      </c>
      <c r="D6" s="53" t="n">
        <f aca="false">SUMIFS('Piano di spesa'!$I$11:$I$30,'Piano di spesa'!$B$11:$B$30,"B · Allestimento del campo",'Piano di spesa'!$L$11:$L$30,"Sì")</f>
        <v>1044</v>
      </c>
      <c r="E6" s="54" t="n">
        <f aca="false">SUMIFS('Piano di spesa'!$I$11:$I$30,'Piano di spesa'!$B$11:$B$30,"B · Allestimento del campo",'Piano di spesa'!$K$11:$K$30,"Opzionale",'Piano di spesa'!$L$11:$L$30,"No")</f>
        <v>2000</v>
      </c>
      <c r="F6" s="54" t="n">
        <f aca="false">D6+E6</f>
        <v>3044</v>
      </c>
      <c r="G6" s="55" t="n">
        <f aca="false">IF($D$9=0,0,D6/$D$9)</f>
        <v>0.328028529684383</v>
      </c>
    </row>
    <row r="7" customFormat="false" ht="24" hidden="false" customHeight="true" outlineLevel="0" collapsed="false">
      <c r="A7" s="50" t="s">
        <v>105</v>
      </c>
      <c r="B7" s="51" t="s">
        <v>106</v>
      </c>
      <c r="C7" s="52" t="n">
        <f aca="false">COUNTIFS('Piano di spesa'!$B$11:$B$30,"C · Immagine, media e presentazione")</f>
        <v>4</v>
      </c>
      <c r="D7" s="53" t="n">
        <f aca="false">SUMIFS('Piano di spesa'!$I$11:$I$30,'Piano di spesa'!$B$11:$B$30,"C · Immagine, media e presentazione",'Piano di spesa'!$L$11:$L$30,"Sì")</f>
        <v>1379</v>
      </c>
      <c r="E7" s="54" t="n">
        <f aca="false">SUMIFS('Piano di spesa'!$I$11:$I$30,'Piano di spesa'!$B$11:$B$30,"C · Immagine, media e presentazione",'Piano di spesa'!$K$11:$K$30,"Opzionale",'Piano di spesa'!$L$11:$L$30,"No")</f>
        <v>0</v>
      </c>
      <c r="F7" s="54" t="n">
        <f aca="false">D7+E7</f>
        <v>1379</v>
      </c>
      <c r="G7" s="55" t="n">
        <f aca="false">IF($D$9=0,0,D7/$D$9)</f>
        <v>0.43328672647008</v>
      </c>
    </row>
    <row r="8" customFormat="false" ht="24" hidden="false" customHeight="true" outlineLevel="0" collapsed="false">
      <c r="A8" s="50" t="s">
        <v>107</v>
      </c>
      <c r="B8" s="51" t="s">
        <v>108</v>
      </c>
      <c r="C8" s="52" t="n">
        <f aca="false">COUNTIFS('Piano di spesa'!$B$11:$B$30,"D · Accoglienza e punto ristoro")</f>
        <v>3</v>
      </c>
      <c r="D8" s="53" t="n">
        <f aca="false">SUMIFS('Piano di spesa'!$I$11:$I$30,'Piano di spesa'!$B$11:$B$30,"D · Accoglienza e punto ristoro",'Piano di spesa'!$L$11:$L$30,"Sì")</f>
        <v>448</v>
      </c>
      <c r="E8" s="54" t="n">
        <f aca="false">SUMIFS('Piano di spesa'!$I$11:$I$30,'Piano di spesa'!$B$11:$B$30,"D · Accoglienza e punto ristoro",'Piano di spesa'!$K$11:$K$30,"Opzionale",'Piano di spesa'!$L$11:$L$30,"No")</f>
        <v>0</v>
      </c>
      <c r="F8" s="54" t="n">
        <f aca="false">D8+E8</f>
        <v>448</v>
      </c>
      <c r="G8" s="55" t="n">
        <f aca="false">IF($D$9=0,0,D8/$D$9)</f>
        <v>0.140763200477589</v>
      </c>
    </row>
    <row r="9" customFormat="false" ht="25.5" hidden="false" customHeight="true" outlineLevel="0" collapsed="false">
      <c r="A9" s="1"/>
      <c r="B9" s="56" t="s">
        <v>19</v>
      </c>
      <c r="C9" s="57" t="n">
        <f aca="false">SUM(C5:C8)</f>
        <v>15</v>
      </c>
      <c r="D9" s="58" t="n">
        <f aca="false">SUM(D5:D8)</f>
        <v>3182.65</v>
      </c>
      <c r="E9" s="59" t="n">
        <f aca="false">SUM(E5:E8)</f>
        <v>2000</v>
      </c>
      <c r="F9" s="59" t="n">
        <f aca="false">SUM(F5:F8)</f>
        <v>5182.65</v>
      </c>
      <c r="G9" s="60" t="n">
        <f aca="false">IF($D$9=0,0,SUM(G5:G8))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2026-10-28T12:01:22Z</dcterms:created>
  <dc:creator>openpyxl</dc:creator>
  <dc:description/>
  <dc:language>en-US</dc:language>
  <cp:lastModifiedBy/>
  <dcterms:modified xsi:type="dcterms:W3CDTF">2026-10-28T12:01:24Z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